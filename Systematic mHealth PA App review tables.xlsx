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nvin\Downloads\"/>
    </mc:Choice>
  </mc:AlternateContent>
  <xr:revisionPtr revIDLastSave="0" documentId="13_ncr:1_{FF4D6B64-9168-4C52-8F02-F9E72193B1AD}" xr6:coauthVersionLast="47" xr6:coauthVersionMax="47" xr10:uidLastSave="{00000000-0000-0000-0000-000000000000}"/>
  <bookViews>
    <workbookView xWindow="-120" yWindow="-120" windowWidth="29040" windowHeight="15720" xr2:uid="{00000000-000D-0000-FFFF-FFFF00000000}"/>
  </bookViews>
  <sheets>
    <sheet name="Summary" sheetId="9" r:id="rId1"/>
    <sheet name="MARS" sheetId="5" r:id="rId2"/>
    <sheet name="IMS" sheetId="3" r:id="rId3"/>
    <sheet name="Gamification" sheetId="7" r:id="rId4"/>
    <sheet name="IMS criteria" sheetId="11" r:id="rId5"/>
    <sheet name="Game criteria" sheetId="10" r:id="rId6"/>
  </sheets>
  <definedNames>
    <definedName name="_xlnm._FilterDatabase" localSheetId="0" hidden="1">Summary!$B$2:$I$38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goUIMYdlxBfHS1Uhf6NTAXcUCPT3iziGC7oggUjgc0Q="/>
    </ext>
  </extLst>
</workbook>
</file>

<file path=xl/calcChain.xml><?xml version="1.0" encoding="utf-8"?>
<calcChain xmlns="http://schemas.openxmlformats.org/spreadsheetml/2006/main">
  <c r="V39" i="7" l="1"/>
  <c r="U39" i="7"/>
  <c r="T39" i="7"/>
  <c r="S39" i="7"/>
  <c r="R39" i="7"/>
  <c r="Q39" i="7"/>
  <c r="P39" i="7"/>
  <c r="O39" i="7"/>
  <c r="N39" i="7"/>
  <c r="M39" i="7"/>
  <c r="L39" i="7"/>
  <c r="K39" i="7"/>
  <c r="J39" i="7"/>
  <c r="I39" i="7"/>
  <c r="H39" i="7"/>
  <c r="G39" i="7"/>
  <c r="F39" i="7"/>
  <c r="E39" i="7"/>
  <c r="D39" i="7"/>
  <c r="C39" i="7"/>
  <c r="B39" i="7"/>
  <c r="W15" i="7"/>
  <c r="W38" i="7"/>
  <c r="W37" i="7"/>
  <c r="W36" i="7"/>
  <c r="W35" i="7"/>
  <c r="W34" i="7"/>
  <c r="W33" i="7"/>
  <c r="W32" i="7"/>
  <c r="W31" i="7"/>
  <c r="W30" i="7"/>
  <c r="W29" i="7"/>
  <c r="W28" i="7"/>
  <c r="W27" i="7"/>
  <c r="W26" i="7"/>
  <c r="W25" i="7"/>
  <c r="W24" i="7"/>
  <c r="W23" i="7"/>
  <c r="W22" i="7"/>
  <c r="W21" i="7"/>
  <c r="W20" i="7"/>
  <c r="W19" i="7"/>
  <c r="W18" i="7"/>
  <c r="W17" i="7"/>
  <c r="W16" i="7"/>
  <c r="W14" i="7"/>
  <c r="W13" i="7"/>
  <c r="W12" i="7"/>
  <c r="W11" i="7"/>
  <c r="W10" i="7"/>
  <c r="W9" i="7"/>
  <c r="W8" i="7"/>
  <c r="W7" i="7"/>
  <c r="W6" i="7"/>
  <c r="W5" i="7"/>
  <c r="W4" i="7"/>
  <c r="W3" i="7"/>
  <c r="L40" i="3"/>
  <c r="K40" i="3"/>
  <c r="J40" i="3"/>
  <c r="I40" i="3"/>
  <c r="H40" i="3"/>
  <c r="G40" i="3"/>
  <c r="F40" i="3"/>
  <c r="E40" i="3"/>
  <c r="D40" i="3"/>
  <c r="C40" i="3"/>
  <c r="B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AB40" i="5"/>
  <c r="AA40" i="5"/>
  <c r="Z40" i="5"/>
  <c r="Y40" i="5"/>
  <c r="X40" i="5"/>
  <c r="W40" i="5"/>
  <c r="U40" i="5"/>
  <c r="T40" i="5"/>
  <c r="S40" i="5"/>
  <c r="Q40" i="5"/>
  <c r="P40" i="5"/>
  <c r="O40" i="5"/>
  <c r="N40" i="5"/>
  <c r="L40" i="5"/>
  <c r="K40" i="5"/>
  <c r="J40" i="5"/>
  <c r="I40" i="5"/>
  <c r="H40" i="5"/>
  <c r="AC39" i="5"/>
  <c r="AD39" i="5" s="1"/>
  <c r="V39" i="5"/>
  <c r="R39" i="5"/>
  <c r="M39" i="5"/>
  <c r="AC38" i="5"/>
  <c r="V38" i="5"/>
  <c r="R38" i="5"/>
  <c r="AD38" i="5" s="1"/>
  <c r="M38" i="5"/>
  <c r="AC37" i="5"/>
  <c r="AD37" i="5" s="1"/>
  <c r="V37" i="5"/>
  <c r="R37" i="5"/>
  <c r="M37" i="5"/>
  <c r="AC36" i="5"/>
  <c r="AD36" i="5" s="1"/>
  <c r="V36" i="5"/>
  <c r="R36" i="5"/>
  <c r="M36" i="5"/>
  <c r="AC35" i="5"/>
  <c r="AD35" i="5" s="1"/>
  <c r="V35" i="5"/>
  <c r="R35" i="5"/>
  <c r="M35" i="5"/>
  <c r="AD34" i="5"/>
  <c r="AC34" i="5"/>
  <c r="V34" i="5"/>
  <c r="R34" i="5"/>
  <c r="M34" i="5"/>
  <c r="AC33" i="5"/>
  <c r="AD33" i="5" s="1"/>
  <c r="V33" i="5"/>
  <c r="R33" i="5"/>
  <c r="M33" i="5"/>
  <c r="AC32" i="5"/>
  <c r="AD32" i="5" s="1"/>
  <c r="V32" i="5"/>
  <c r="R32" i="5"/>
  <c r="M32" i="5"/>
  <c r="AC31" i="5"/>
  <c r="AD31" i="5" s="1"/>
  <c r="V31" i="5"/>
  <c r="R31" i="5"/>
  <c r="M31" i="5"/>
  <c r="AC30" i="5"/>
  <c r="V30" i="5"/>
  <c r="R30" i="5"/>
  <c r="AD30" i="5" s="1"/>
  <c r="M30" i="5"/>
  <c r="AC29" i="5"/>
  <c r="AD29" i="5" s="1"/>
  <c r="V29" i="5"/>
  <c r="R29" i="5"/>
  <c r="M29" i="5"/>
  <c r="AC28" i="5"/>
  <c r="AD28" i="5" s="1"/>
  <c r="V28" i="5"/>
  <c r="R28" i="5"/>
  <c r="M28" i="5"/>
  <c r="AC27" i="5"/>
  <c r="AD27" i="5" s="1"/>
  <c r="V27" i="5"/>
  <c r="R27" i="5"/>
  <c r="M27" i="5"/>
  <c r="AD26" i="5"/>
  <c r="AC26" i="5"/>
  <c r="V26" i="5"/>
  <c r="R26" i="5"/>
  <c r="M26" i="5"/>
  <c r="AC25" i="5"/>
  <c r="AD25" i="5" s="1"/>
  <c r="V25" i="5"/>
  <c r="R25" i="5"/>
  <c r="M25" i="5"/>
  <c r="AC24" i="5"/>
  <c r="AD24" i="5" s="1"/>
  <c r="V24" i="5"/>
  <c r="R24" i="5"/>
  <c r="M24" i="5"/>
  <c r="AC23" i="5"/>
  <c r="AD23" i="5" s="1"/>
  <c r="V23" i="5"/>
  <c r="R23" i="5"/>
  <c r="M23" i="5"/>
  <c r="AC22" i="5"/>
  <c r="V22" i="5"/>
  <c r="R22" i="5"/>
  <c r="AD22" i="5" s="1"/>
  <c r="M22" i="5"/>
  <c r="AC21" i="5"/>
  <c r="AD21" i="5" s="1"/>
  <c r="V21" i="5"/>
  <c r="R21" i="5"/>
  <c r="M21" i="5"/>
  <c r="AC20" i="5"/>
  <c r="AD20" i="5" s="1"/>
  <c r="V20" i="5"/>
  <c r="R20" i="5"/>
  <c r="M20" i="5"/>
  <c r="AC19" i="5"/>
  <c r="AD19" i="5" s="1"/>
  <c r="V19" i="5"/>
  <c r="R19" i="5"/>
  <c r="M19" i="5"/>
  <c r="AD18" i="5"/>
  <c r="AC18" i="5"/>
  <c r="V18" i="5"/>
  <c r="R18" i="5"/>
  <c r="M18" i="5"/>
  <c r="AC17" i="5"/>
  <c r="AD17" i="5" s="1"/>
  <c r="V17" i="5"/>
  <c r="R17" i="5"/>
  <c r="M17" i="5"/>
  <c r="AC16" i="5"/>
  <c r="AD16" i="5" s="1"/>
  <c r="V16" i="5"/>
  <c r="R16" i="5"/>
  <c r="M16" i="5"/>
  <c r="AC15" i="5"/>
  <c r="AD15" i="5" s="1"/>
  <c r="V15" i="5"/>
  <c r="R15" i="5"/>
  <c r="M15" i="5"/>
  <c r="AC14" i="5"/>
  <c r="V14" i="5"/>
  <c r="R14" i="5"/>
  <c r="AD14" i="5" s="1"/>
  <c r="M14" i="5"/>
  <c r="AC13" i="5"/>
  <c r="AD13" i="5" s="1"/>
  <c r="V13" i="5"/>
  <c r="R13" i="5"/>
  <c r="M13" i="5"/>
  <c r="AC12" i="5"/>
  <c r="AD12" i="5" s="1"/>
  <c r="V12" i="5"/>
  <c r="R12" i="5"/>
  <c r="M12" i="5"/>
  <c r="AC11" i="5"/>
  <c r="AD11" i="5" s="1"/>
  <c r="V11" i="5"/>
  <c r="R11" i="5"/>
  <c r="M11" i="5"/>
  <c r="AD10" i="5"/>
  <c r="AC10" i="5"/>
  <c r="V10" i="5"/>
  <c r="R10" i="5"/>
  <c r="M10" i="5"/>
  <c r="AC9" i="5"/>
  <c r="AD9" i="5" s="1"/>
  <c r="V9" i="5"/>
  <c r="R9" i="5"/>
  <c r="M9" i="5"/>
  <c r="AC8" i="5"/>
  <c r="V8" i="5"/>
  <c r="AD8" i="5" s="1"/>
  <c r="R8" i="5"/>
  <c r="M8" i="5"/>
  <c r="AC7" i="5"/>
  <c r="AD7" i="5" s="1"/>
  <c r="V7" i="5"/>
  <c r="R7" i="5"/>
  <c r="M7" i="5"/>
  <c r="AC6" i="5"/>
  <c r="V6" i="5"/>
  <c r="R6" i="5"/>
  <c r="AD6" i="5" s="1"/>
  <c r="M6" i="5"/>
  <c r="AC5" i="5"/>
  <c r="AD5" i="5" s="1"/>
  <c r="V5" i="5"/>
  <c r="R5" i="5"/>
  <c r="R40" i="5" s="1"/>
  <c r="M5" i="5"/>
  <c r="AC4" i="5"/>
  <c r="AC40" i="5" s="1"/>
  <c r="V4" i="5"/>
  <c r="V40" i="5" s="1"/>
  <c r="R4" i="5"/>
  <c r="M4" i="5"/>
  <c r="M40" i="5" s="1"/>
  <c r="I40" i="9"/>
  <c r="H40" i="9"/>
  <c r="G40" i="9"/>
  <c r="F40" i="9"/>
  <c r="E40" i="9"/>
  <c r="D40" i="9"/>
  <c r="C40" i="9"/>
  <c r="I39" i="9"/>
  <c r="H39" i="9"/>
  <c r="G39" i="9"/>
  <c r="F39" i="9"/>
  <c r="E39" i="9"/>
  <c r="D39" i="9"/>
  <c r="C39" i="9"/>
  <c r="W39" i="7" l="1"/>
  <c r="AD4" i="5"/>
  <c r="AD40" i="5" s="1"/>
  <c r="N39" i="9"/>
  <c r="M39" i="9"/>
  <c r="L39" i="9"/>
  <c r="Z39" i="7" l="1"/>
</calcChain>
</file>

<file path=xl/sharedStrings.xml><?xml version="1.0" encoding="utf-8"?>
<sst xmlns="http://schemas.openxmlformats.org/spreadsheetml/2006/main" count="375" uniqueCount="198">
  <si>
    <t>Increase Happiness/Well-being</t>
  </si>
  <si>
    <t>Mindfulness/Meditation/Relaxation</t>
  </si>
  <si>
    <t>Reduce negative emotions</t>
  </si>
  <si>
    <t>Anxiety/Stress</t>
  </si>
  <si>
    <t>Physical health</t>
  </si>
  <si>
    <t>Information/Education</t>
  </si>
  <si>
    <t>Monitoring/Tracking</t>
  </si>
  <si>
    <t>Goal setting</t>
  </si>
  <si>
    <t>Advice /Tips /Strategies /Skills training</t>
  </si>
  <si>
    <t>App Name</t>
  </si>
  <si>
    <t>Workout for Older Adults</t>
  </si>
  <si>
    <t>Chair Yoga for Seniors</t>
  </si>
  <si>
    <t>Exercise for Older Adults</t>
  </si>
  <si>
    <t>Wakeout! Defeat Sedentary Life</t>
  </si>
  <si>
    <t>Leg Exercises for Seniors</t>
  </si>
  <si>
    <t>Low Back Exercises For Seniors</t>
  </si>
  <si>
    <t>Shoulder Exercises For Seniors</t>
  </si>
  <si>
    <t>Oseterics Yoga | Active Aging</t>
  </si>
  <si>
    <t>SeniorFit At-Home Workouts</t>
  </si>
  <si>
    <t>N/A</t>
  </si>
  <si>
    <t>Chair Yoga for Seniors app!</t>
  </si>
  <si>
    <t>SitFit Exercise</t>
  </si>
  <si>
    <t>Aging Well Workout App</t>
  </si>
  <si>
    <t>Chair Exercises &amp; Workouts</t>
  </si>
  <si>
    <t>Chair Exercises - Sit &amp; Be Fit</t>
  </si>
  <si>
    <t>Workout for Over 50s</t>
  </si>
  <si>
    <t>Oxycise! Zero-Impact Fitness</t>
  </si>
  <si>
    <t>Table 1.</t>
  </si>
  <si>
    <t>IMS Institute for Healthcare Informatics functionality score criteria and descriptions</t>
  </si>
  <si>
    <t>IMS Functionality Criteria (score 0 or 1)</t>
  </si>
  <si>
    <t>Total IMS score</t>
  </si>
  <si>
    <t>Staying Fit at 50+</t>
  </si>
  <si>
    <t>Modified Mobile Application Rating Scale (MARS). All scores are 1 through 5. Refer to the MARS pdf for details and keep a copy in front while rating</t>
  </si>
  <si>
    <t>Focus</t>
  </si>
  <si>
    <t>Theoretical background strategies</t>
  </si>
  <si>
    <t>Section A-Engagement</t>
  </si>
  <si>
    <t>Section B Functionality</t>
  </si>
  <si>
    <t>Section C Aesthetics</t>
  </si>
  <si>
    <t>Section D Information</t>
  </si>
  <si>
    <t>Overall App Quality score</t>
  </si>
  <si>
    <t>Focus: What the app targets 1</t>
  </si>
  <si>
    <t>Focus: What the app targets 2 (if applicable)</t>
  </si>
  <si>
    <t>Focus: What the app targets 3 (if applicable)</t>
  </si>
  <si>
    <t>Theoretical background strategies 1</t>
  </si>
  <si>
    <t>Theoretical background strategies 2(if applicable)</t>
  </si>
  <si>
    <t>Theoretical background strategies 3 (if applicable)</t>
  </si>
  <si>
    <t>Engagement Mean score</t>
  </si>
  <si>
    <t>Functionality Mean Score</t>
  </si>
  <si>
    <t>Aesthetics Mean Score</t>
  </si>
  <si>
    <t>Information Mean Score</t>
  </si>
  <si>
    <t>Gamification rubric (score 0 or 1)</t>
  </si>
  <si>
    <t>Achievement and progression oriented</t>
  </si>
  <si>
    <t>Social interaction oriented</t>
  </si>
  <si>
    <t>Immersion oriented</t>
  </si>
  <si>
    <t>Tai Chi Fit OVER 50</t>
  </si>
  <si>
    <t>Rx Longevity: Coach for 60+</t>
  </si>
  <si>
    <t>Retired &amp; Fitter</t>
  </si>
  <si>
    <t>Be Healthy Enough</t>
  </si>
  <si>
    <t>Stretch &amp; Flexibility</t>
  </si>
  <si>
    <t>SimpliMove</t>
  </si>
  <si>
    <t>Vive Fit: Exercise and Rehab</t>
  </si>
  <si>
    <t>ElderlyFit</t>
  </si>
  <si>
    <t>Get Up And Go</t>
  </si>
  <si>
    <t>Senior Fitness-workout for 50+</t>
  </si>
  <si>
    <t>Gentle Exercises for Seniors</t>
  </si>
  <si>
    <t>SENSALUS. Senior Fitness</t>
  </si>
  <si>
    <t>Fit Over 50 - Home Exercises</t>
  </si>
  <si>
    <t>Chair Exercises</t>
  </si>
  <si>
    <t>Over Fifty Fitness</t>
  </si>
  <si>
    <t>Workout for Over 50s - Seniors</t>
  </si>
  <si>
    <t>Yoga for Seniors, Old &amp; Elders</t>
  </si>
  <si>
    <t>Bend: Stretching &amp; Flexibility</t>
  </si>
  <si>
    <t>Training Plan for Over 50s</t>
  </si>
  <si>
    <t xml:space="preserve">1. Entertainment </t>
  </si>
  <si>
    <t xml:space="preserve">2. Interest </t>
  </si>
  <si>
    <t xml:space="preserve">3. Customisation </t>
  </si>
  <si>
    <t xml:space="preserve">4. Interactivity </t>
  </si>
  <si>
    <t xml:space="preserve">5. Target Group </t>
  </si>
  <si>
    <t xml:space="preserve">6. Performance </t>
  </si>
  <si>
    <t xml:space="preserve">7. Ease of use </t>
  </si>
  <si>
    <t xml:space="preserve">8. Navigation </t>
  </si>
  <si>
    <t xml:space="preserve">9. Gestural Design </t>
  </si>
  <si>
    <t xml:space="preserve">10. Layout </t>
  </si>
  <si>
    <t xml:space="preserve">11. Graphics </t>
  </si>
  <si>
    <t xml:space="preserve">12. Visual Appeal </t>
  </si>
  <si>
    <t xml:space="preserve">13. Accuracy of app description </t>
  </si>
  <si>
    <t xml:space="preserve">14. Goals </t>
  </si>
  <si>
    <t xml:space="preserve">15. Quality of information </t>
  </si>
  <si>
    <t xml:space="preserve">16. Quantity of information </t>
  </si>
  <si>
    <t xml:space="preserve">17. Visual Information </t>
  </si>
  <si>
    <t xml:space="preserve">18. Credibility </t>
  </si>
  <si>
    <t xml:space="preserve">1. Inform. Provides information in a variety of formats, eg, text, photo, video </t>
  </si>
  <si>
    <t xml:space="preserve">2. Instruct. Provides instructions to the user, eg, app use guides, instructions to interpret charts </t>
  </si>
  <si>
    <t xml:space="preserve">3. Record. Captures user-entered data, eg, exercise log, steps, type of exercise etc. </t>
  </si>
  <si>
    <t xml:space="preserve">3.1. Collect data. Able to enter and store health data on individual phone, eg, steps taken, exercise type </t>
  </si>
  <si>
    <t xml:space="preserve">3.2. Share data. Able to transmit health data, eg, export, upload, or email data </t>
  </si>
  <si>
    <t xml:space="preserve">3.3. Intervene. Able to send alerts based on the data collected or propose behavioral intervention or changes, eg, sedentary behaviour alarm based on users’ data, exercise reminder when movement or step count is detected </t>
  </si>
  <si>
    <t xml:space="preserve">4. Display. Graphically display user-entered data/output user-entered data, eg, physical activity trends chart </t>
  </si>
  <si>
    <t xml:space="preserve">5. Guide. Provide guidance based on user-entered information, and may further offer further help, eg, recommendations for improving technique or frequency of exercise based on user data </t>
  </si>
  <si>
    <t xml:space="preserve">6. Remind or Alert. Provide reminders to the user, eg, exercise notifications </t>
  </si>
  <si>
    <t xml:space="preserve">7. Communicate. Provide communication between users, consumers or others and/or provide links to social networks, eg, in-app community or upload activity data to Facebook </t>
  </si>
  <si>
    <t xml:space="preserve">Challenges </t>
  </si>
  <si>
    <t xml:space="preserve">Goal-setting </t>
  </si>
  <si>
    <t xml:space="preserve">Personalised feedback/ messages </t>
  </si>
  <si>
    <t xml:space="preserve">Progress visualisation </t>
  </si>
  <si>
    <t xml:space="preserve">Points </t>
  </si>
  <si>
    <t xml:space="preserve">Levels </t>
  </si>
  <si>
    <t xml:space="preserve">Leaderboards </t>
  </si>
  <si>
    <t xml:space="preserve">Badges </t>
  </si>
  <si>
    <t xml:space="preserve">Virtual Rewards </t>
  </si>
  <si>
    <t xml:space="preserve">Virtual losses </t>
  </si>
  <si>
    <t xml:space="preserve">Real-world rewards </t>
  </si>
  <si>
    <t xml:space="preserve">Shadowing (comparing current to earlier performances) </t>
  </si>
  <si>
    <t xml:space="preserve">Competition </t>
  </si>
  <si>
    <t xml:space="preserve">Collaboration </t>
  </si>
  <si>
    <t xml:space="preserve">Teams, leagues </t>
  </si>
  <si>
    <t xml:space="preserve">Social support </t>
  </si>
  <si>
    <t xml:space="preserve">Messaging with users/ team/ clinician </t>
  </si>
  <si>
    <t xml:space="preserve">Story or theme </t>
  </si>
  <si>
    <t xml:space="preserve">Avatars </t>
  </si>
  <si>
    <t xml:space="preserve">Virtual tracking based on real world action </t>
  </si>
  <si>
    <t xml:space="preserve">Virtual Environment </t>
  </si>
  <si>
    <t>Gamification total</t>
  </si>
  <si>
    <t>Average</t>
  </si>
  <si>
    <t>Grand average</t>
  </si>
  <si>
    <t>MARS</t>
  </si>
  <si>
    <t>IMS</t>
  </si>
  <si>
    <t>Information</t>
  </si>
  <si>
    <t>Gamification</t>
  </si>
  <si>
    <t>AVERAGE</t>
  </si>
  <si>
    <t>Feature Orientation</t>
  </si>
  <si>
    <t>Functionality scoring criteria</t>
  </si>
  <si>
    <t>Description</t>
  </si>
  <si>
    <t>1. Inform</t>
  </si>
  <si>
    <t>Provides information in a variety of formats (text, photo, video)</t>
  </si>
  <si>
    <t>2. Instruct</t>
  </si>
  <si>
    <t>Provides instructions to the user</t>
  </si>
  <si>
    <t>3. Record</t>
  </si>
  <si>
    <t>Capture user entered data.</t>
  </si>
  <si>
    <r>
      <t>·</t>
    </r>
    <r>
      <rPr>
        <sz val="7"/>
        <color theme="1"/>
        <rFont val="Times New Roman"/>
        <family val="1"/>
      </rPr>
      <t xml:space="preserve">       </t>
    </r>
    <r>
      <rPr>
        <sz val="11"/>
        <color rgb="FF000000"/>
        <rFont val="Century Schoolbook"/>
        <family val="1"/>
      </rPr>
      <t>Collect Data: Able to enter and store health data on individual phone</t>
    </r>
  </si>
  <si>
    <r>
      <t>·</t>
    </r>
    <r>
      <rPr>
        <sz val="7"/>
        <color theme="1"/>
        <rFont val="Times New Roman"/>
        <family val="1"/>
      </rPr>
      <t xml:space="preserve">       </t>
    </r>
    <r>
      <rPr>
        <sz val="11"/>
        <color rgb="FF000000"/>
        <rFont val="Century Schoolbook"/>
        <family val="1"/>
      </rPr>
      <t>Share Data Able to transmit health data</t>
    </r>
  </si>
  <si>
    <r>
      <t>·</t>
    </r>
    <r>
      <rPr>
        <sz val="7"/>
        <color theme="1"/>
        <rFont val="Times New Roman"/>
        <family val="1"/>
      </rPr>
      <t xml:space="preserve">       </t>
    </r>
    <r>
      <rPr>
        <sz val="11"/>
        <color rgb="FF000000"/>
        <rFont val="Century Schoolbook"/>
        <family val="1"/>
      </rPr>
      <t>Evaluate Data: Able to evaluate the entered health data by patient and provider, provider and administrator, or patient and caregiver</t>
    </r>
  </si>
  <si>
    <r>
      <t>·</t>
    </r>
    <r>
      <rPr>
        <sz val="7"/>
        <color theme="1"/>
        <rFont val="Times New Roman"/>
        <family val="1"/>
      </rPr>
      <t xml:space="preserve">       </t>
    </r>
    <r>
      <rPr>
        <sz val="11"/>
        <color rgb="FF000000"/>
        <rFont val="Century Schoolbook"/>
        <family val="1"/>
      </rPr>
      <t>Intervene: Able to send alerts based on the data collected or propose behavioural intervention or changes</t>
    </r>
  </si>
  <si>
    <t>4. Display</t>
  </si>
  <si>
    <t>Graphically display user entered data/output user entered data</t>
  </si>
  <si>
    <t>5. Guide</t>
  </si>
  <si>
    <t>Provide guidance based on user entered information, and may further offer a diagnosis, or recommend a consultation with a physician/a course of treatment</t>
  </si>
  <si>
    <t>6. Remind or Alert</t>
  </si>
  <si>
    <t>Provide reminders to the user</t>
  </si>
  <si>
    <t>7. Communicate</t>
  </si>
  <si>
    <t>Provide communication with Health Care Provider/patients and/or provide links to social networks</t>
  </si>
  <si>
    <r>
      <t>App Name</t>
    </r>
    <r>
      <rPr>
        <u/>
        <sz val="10"/>
        <color rgb="FF000000"/>
        <rFont val="Century Schoolbook"/>
        <family val="1"/>
      </rPr>
      <t xml:space="preserve"> </t>
    </r>
  </si>
  <si>
    <t>MARS (1-5)</t>
  </si>
  <si>
    <t>Engagement Average</t>
  </si>
  <si>
    <t>Functionality Average</t>
  </si>
  <si>
    <t>Aesthetics Average</t>
  </si>
  <si>
    <r>
      <t>Overall Average</t>
    </r>
    <r>
      <rPr>
        <sz val="10"/>
        <color rgb="FF000000"/>
        <rFont val="Century Schoolbook"/>
        <family val="1"/>
      </rPr>
      <t xml:space="preserve"> </t>
    </r>
  </si>
  <si>
    <t xml:space="preserve">Workout for Older Adults </t>
  </si>
  <si>
    <t xml:space="preserve">Chair Yoga for Seniors </t>
  </si>
  <si>
    <t xml:space="preserve">Exercise for Older Adults </t>
  </si>
  <si>
    <t xml:space="preserve">Wakeout! Defeat Sedentary Life </t>
  </si>
  <si>
    <t xml:space="preserve">Leg Exercises for Seniors </t>
  </si>
  <si>
    <t xml:space="preserve">Low Back Exercises for Seniors </t>
  </si>
  <si>
    <t xml:space="preserve">Shoulder Exercises for Seniors </t>
  </si>
  <si>
    <t xml:space="preserve">Oseterics Yoga | Active Aging </t>
  </si>
  <si>
    <t xml:space="preserve">SeniorFit At-Home Workouts </t>
  </si>
  <si>
    <t xml:space="preserve">Chair Yoga for Seniors app! </t>
  </si>
  <si>
    <t xml:space="preserve">SitFit Exercise </t>
  </si>
  <si>
    <t xml:space="preserve">Aging Well Workout App </t>
  </si>
  <si>
    <t xml:space="preserve">Chair Exercises &amp; Workouts </t>
  </si>
  <si>
    <t xml:space="preserve">Chair Exercises - Sit &amp; Be Fit </t>
  </si>
  <si>
    <t xml:space="preserve">Staying Fit at 50+ </t>
  </si>
  <si>
    <t xml:space="preserve">Workout for Over 50s </t>
  </si>
  <si>
    <t xml:space="preserve">Oxycise! Zero-Impact Fitness </t>
  </si>
  <si>
    <t xml:space="preserve">Tai Chi Fit OVER 50 </t>
  </si>
  <si>
    <t xml:space="preserve">Rx Longevity: Coach for 60+ </t>
  </si>
  <si>
    <t xml:space="preserve">Retired &amp; Fitter </t>
  </si>
  <si>
    <t xml:space="preserve">Stretch &amp; Flexibility </t>
  </si>
  <si>
    <t xml:space="preserve">Be Healthy Enough </t>
  </si>
  <si>
    <t xml:space="preserve">SimpliMove </t>
  </si>
  <si>
    <t xml:space="preserve">Vive Fit: Exercise and Rehab </t>
  </si>
  <si>
    <t xml:space="preserve">ElderlyFit </t>
  </si>
  <si>
    <t xml:space="preserve">Get Up And Go </t>
  </si>
  <si>
    <t xml:space="preserve">Senior Fitness-workout for 50+ </t>
  </si>
  <si>
    <t xml:space="preserve">Gentle Exercises for Seniors </t>
  </si>
  <si>
    <t xml:space="preserve">SENSALUS. Senior Fitness </t>
  </si>
  <si>
    <t xml:space="preserve">Fit Over 50 - Home Exercises </t>
  </si>
  <si>
    <t xml:space="preserve">Chair Exercises </t>
  </si>
  <si>
    <t xml:space="preserve">Over Fifty Fitness </t>
  </si>
  <si>
    <t xml:space="preserve">Workout for Over 50s - Seniors </t>
  </si>
  <si>
    <t xml:space="preserve">Yoga for Seniors, Old &amp; Elders </t>
  </si>
  <si>
    <t xml:space="preserve">Bend: Stretching &amp; Flexibility </t>
  </si>
  <si>
    <t xml:space="preserve">Training Plan for Over 50s </t>
  </si>
  <si>
    <r>
      <t>AVERAGE</t>
    </r>
    <r>
      <rPr>
        <sz val="10"/>
        <color rgb="FF000000"/>
        <rFont val="Century Schoolbook"/>
        <family val="1"/>
      </rPr>
      <t xml:space="preserve"> </t>
    </r>
  </si>
  <si>
    <t>MEDIAN</t>
  </si>
  <si>
    <t>Sorted Table</t>
  </si>
  <si>
    <r>
      <t>IMS (0-10)</t>
    </r>
    <r>
      <rPr>
        <u/>
        <sz val="10"/>
        <color rgb="FF000000"/>
        <rFont val="Century Schoolbook"/>
        <family val="1"/>
      </rPr>
      <t xml:space="preserve"> </t>
    </r>
  </si>
  <si>
    <t xml:space="preserve">Gamification (0-21)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</si>
</sst>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4">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font>
    <font>
      <sz val="11"/>
      <color theme="1"/>
      <name val="Arial"/>
      <family val="2"/>
    </font>
    <font>
      <sz val="11"/>
      <color rgb="FF444444"/>
      <name val="&quot;Aptos Narrow&quot;"/>
    </font>
    <font>
      <b/>
      <sz val="11"/>
      <color rgb="FF2A2A2A"/>
      <name val="Source Sans Pro"/>
      <family val="2"/>
    </font>
    <font>
      <sz val="11"/>
      <color theme="1"/>
      <name val="Inherit"/>
    </font>
    <font>
      <b/>
      <sz val="11"/>
      <color theme="1"/>
      <name val="Inherit"/>
    </font>
    <font>
      <sz val="11"/>
      <name val="Aptos Narrow"/>
      <family val="2"/>
    </font>
    <font>
      <b/>
      <sz val="11"/>
      <color theme="1"/>
      <name val="Aptos Narrow"/>
      <family val="2"/>
    </font>
    <font>
      <b/>
      <sz val="11"/>
      <color theme="1"/>
      <name val="Arial"/>
      <family val="2"/>
    </font>
    <font>
      <sz val="11"/>
      <color rgb="FF000000"/>
      <name val="Aptos Narrow"/>
      <family val="2"/>
      <scheme val="minor"/>
    </font>
    <font>
      <sz val="11"/>
      <color rgb="FF000000"/>
      <name val="Arial"/>
      <family val="2"/>
    </font>
    <font>
      <b/>
      <sz val="11"/>
      <color theme="1"/>
      <name val="Aptos Narrow"/>
      <family val="2"/>
      <scheme val="minor"/>
    </font>
    <font>
      <sz val="11"/>
      <color rgb="FF13343B"/>
      <name val="Arial"/>
      <family val="2"/>
    </font>
    <font>
      <sz val="12"/>
      <color theme="1"/>
      <name val="Aptos Narrow"/>
      <family val="2"/>
    </font>
    <font>
      <b/>
      <sz val="12"/>
      <color theme="1"/>
      <name val="Aptos Narrow"/>
      <family val="2"/>
    </font>
    <font>
      <u/>
      <sz val="12"/>
      <color theme="1"/>
      <name val="Aptos Narrow"/>
      <family val="2"/>
      <scheme val="minor"/>
    </font>
    <font>
      <b/>
      <u/>
      <sz val="12"/>
      <color theme="1"/>
      <name val="Aptos Narrow"/>
      <family val="2"/>
      <scheme val="minor"/>
    </font>
    <font>
      <u/>
      <sz val="11"/>
      <color theme="1"/>
      <name val="Arial"/>
      <family val="2"/>
    </font>
    <font>
      <sz val="11"/>
      <color theme="1"/>
      <name val="Constantia"/>
      <family val="1"/>
    </font>
    <font>
      <sz val="11"/>
      <color rgb="FF444444"/>
      <name val="Constantia"/>
      <family val="1"/>
    </font>
    <font>
      <b/>
      <sz val="11"/>
      <color rgb="FF000000"/>
      <name val="Century Schoolbook"/>
      <family val="1"/>
    </font>
    <font>
      <sz val="11"/>
      <color rgb="FF000000"/>
      <name val="Century Schoolbook"/>
      <family val="1"/>
    </font>
    <font>
      <sz val="10"/>
      <color theme="1"/>
      <name val="Symbol"/>
      <family val="1"/>
      <charset val="2"/>
    </font>
    <font>
      <sz val="7"/>
      <color theme="1"/>
      <name val="Times New Roman"/>
      <family val="1"/>
    </font>
    <font>
      <sz val="12"/>
      <color theme="1"/>
      <name val="Aptos Narrow"/>
      <family val="2"/>
      <scheme val="minor"/>
    </font>
    <font>
      <b/>
      <u/>
      <sz val="10"/>
      <color rgb="FF000000"/>
      <name val="Century Schoolbook"/>
      <family val="1"/>
    </font>
    <font>
      <u/>
      <sz val="10"/>
      <color rgb="FF000000"/>
      <name val="Century Schoolbook"/>
      <family val="1"/>
    </font>
    <font>
      <b/>
      <sz val="10"/>
      <color rgb="FF000000"/>
      <name val="Century Schoolbook"/>
      <family val="1"/>
    </font>
    <font>
      <sz val="10"/>
      <color rgb="FF000000"/>
      <name val="Century Schoolbook"/>
      <family val="1"/>
    </font>
    <font>
      <b/>
      <sz val="11"/>
      <color theme="1"/>
      <name val="Constantia"/>
      <family val="1"/>
    </font>
    <font>
      <sz val="11"/>
      <color rgb="FF444444"/>
      <name val="Arial"/>
      <family val="2"/>
    </font>
  </fonts>
  <fills count="14">
    <fill>
      <patternFill patternType="none"/>
    </fill>
    <fill>
      <patternFill patternType="gray125"/>
    </fill>
    <fill>
      <patternFill patternType="solid">
        <fgColor rgb="FFFFFFFF"/>
        <bgColor rgb="FFFFFFFF"/>
      </patternFill>
    </fill>
    <fill>
      <patternFill patternType="solid">
        <fgColor rgb="FFF2F5F9"/>
        <bgColor rgb="FFF2F5F9"/>
      </patternFill>
    </fill>
    <fill>
      <patternFill patternType="solid">
        <fgColor rgb="FFFAE2D5"/>
        <bgColor rgb="FFFAE2D5"/>
      </patternFill>
    </fill>
    <fill>
      <patternFill patternType="solid">
        <fgColor rgb="FFF6C6AC"/>
        <bgColor rgb="FFF6C6AC"/>
      </patternFill>
    </fill>
    <fill>
      <patternFill patternType="solid">
        <fgColor rgb="FFF1A983"/>
        <bgColor rgb="FFF1A983"/>
      </patternFill>
    </fill>
    <fill>
      <patternFill patternType="solid">
        <fgColor rgb="FFC1F0C8"/>
        <bgColor rgb="FFC1F0C8"/>
      </patternFill>
    </fill>
    <fill>
      <patternFill patternType="solid">
        <fgColor rgb="FFDBE9F7"/>
        <bgColor rgb="FFDBE9F7"/>
      </patternFill>
    </fill>
    <fill>
      <patternFill patternType="solid">
        <fgColor rgb="FFC1E4F5"/>
        <bgColor rgb="FFC1E4F5"/>
      </patternFill>
    </fill>
    <fill>
      <patternFill patternType="solid">
        <fgColor rgb="FFF1CEEE"/>
        <bgColor rgb="FFF1CEEE"/>
      </patternFill>
    </fill>
    <fill>
      <patternFill patternType="solid">
        <fgColor rgb="FFFFC000"/>
        <bgColor indexed="64"/>
      </patternFill>
    </fill>
    <fill>
      <patternFill patternType="solid">
        <fgColor theme="4" tint="0.79998168889431442"/>
        <bgColor indexed="64"/>
      </patternFill>
    </fill>
    <fill>
      <patternFill patternType="solid">
        <fgColor rgb="FFFFFFFF"/>
        <bgColor indexed="64"/>
      </patternFill>
    </fill>
  </fills>
  <borders count="31">
    <border>
      <left/>
      <right/>
      <top/>
      <bottom/>
      <diagonal/>
    </border>
    <border>
      <left/>
      <right/>
      <top style="medium">
        <color rgb="FFCFD5E4"/>
      </top>
      <bottom/>
      <diagonal/>
    </border>
    <border>
      <left/>
      <right/>
      <top style="medium">
        <color rgb="FFCFD5E4"/>
      </top>
      <bottom style="medium">
        <color rgb="FFCFD5E4"/>
      </bottom>
      <diagonal/>
    </border>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s>
  <cellStyleXfs count="1">
    <xf numFmtId="0" fontId="0" fillId="0" borderId="0"/>
  </cellStyleXfs>
  <cellXfs count="121">
    <xf numFmtId="0" fontId="0" fillId="0" borderId="0" xfId="0"/>
    <xf numFmtId="0" fontId="6" fillId="0" borderId="0" xfId="0" applyFont="1" applyAlignment="1">
      <alignment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horizontal="right" vertical="center" wrapText="1"/>
    </xf>
    <xf numFmtId="0" fontId="3" fillId="0" borderId="3" xfId="0" applyFont="1" applyBorder="1"/>
    <xf numFmtId="0" fontId="4" fillId="0" borderId="3" xfId="0" applyFont="1" applyBorder="1"/>
    <xf numFmtId="0" fontId="12" fillId="0" borderId="3" xfId="0" applyFont="1" applyBorder="1"/>
    <xf numFmtId="0" fontId="13" fillId="0" borderId="3" xfId="0" applyFont="1" applyBorder="1"/>
    <xf numFmtId="0" fontId="0" fillId="0" borderId="3" xfId="0" applyBorder="1"/>
    <xf numFmtId="0" fontId="5" fillId="2" borderId="3" xfId="0" applyFont="1" applyFill="1" applyBorder="1" applyAlignment="1">
      <alignment horizontal="left"/>
    </xf>
    <xf numFmtId="0" fontId="3" fillId="8" borderId="5" xfId="0" applyFont="1" applyFill="1" applyBorder="1" applyAlignment="1">
      <alignment wrapText="1"/>
    </xf>
    <xf numFmtId="0" fontId="3" fillId="9" borderId="5" xfId="0" applyFont="1" applyFill="1" applyBorder="1" applyAlignment="1">
      <alignment wrapText="1"/>
    </xf>
    <xf numFmtId="0" fontId="3" fillId="4" borderId="5" xfId="0" applyFont="1" applyFill="1" applyBorder="1" applyAlignment="1">
      <alignment wrapText="1"/>
    </xf>
    <xf numFmtId="0" fontId="10" fillId="4" borderId="5" xfId="0" applyFont="1" applyFill="1" applyBorder="1" applyAlignment="1">
      <alignment wrapText="1"/>
    </xf>
    <xf numFmtId="0" fontId="3" fillId="5" borderId="5" xfId="0" applyFont="1" applyFill="1" applyBorder="1" applyAlignment="1">
      <alignment wrapText="1"/>
    </xf>
    <xf numFmtId="0" fontId="10" fillId="5" borderId="5" xfId="0" applyFont="1" applyFill="1" applyBorder="1" applyAlignment="1">
      <alignment wrapText="1"/>
    </xf>
    <xf numFmtId="0" fontId="3" fillId="6" borderId="5" xfId="0" applyFont="1" applyFill="1" applyBorder="1" applyAlignment="1">
      <alignment wrapText="1"/>
    </xf>
    <xf numFmtId="0" fontId="10" fillId="6" borderId="5" xfId="0" applyFont="1" applyFill="1" applyBorder="1" applyAlignment="1">
      <alignment wrapText="1"/>
    </xf>
    <xf numFmtId="0" fontId="3" fillId="7" borderId="5" xfId="0" applyFont="1" applyFill="1" applyBorder="1" applyAlignment="1">
      <alignment wrapText="1"/>
    </xf>
    <xf numFmtId="0" fontId="3" fillId="0" borderId="5" xfId="0" applyFont="1" applyBorder="1"/>
    <xf numFmtId="1" fontId="3" fillId="0" borderId="5" xfId="0" applyNumberFormat="1" applyFont="1" applyBorder="1"/>
    <xf numFmtId="1" fontId="4" fillId="0" borderId="5" xfId="0" applyNumberFormat="1" applyFont="1" applyBorder="1"/>
    <xf numFmtId="0" fontId="4" fillId="0" borderId="5" xfId="0" applyFont="1" applyBorder="1"/>
    <xf numFmtId="2" fontId="10" fillId="0" borderId="5" xfId="0" applyNumberFormat="1" applyFont="1" applyBorder="1"/>
    <xf numFmtId="0" fontId="0" fillId="0" borderId="5" xfId="0" applyBorder="1"/>
    <xf numFmtId="0" fontId="4" fillId="2" borderId="5" xfId="0" applyFont="1" applyFill="1" applyBorder="1" applyAlignment="1">
      <alignment horizontal="right" vertical="top" wrapText="1"/>
    </xf>
    <xf numFmtId="0" fontId="4" fillId="0" borderId="5" xfId="0" applyFont="1" applyBorder="1" applyAlignment="1">
      <alignment horizontal="right" vertical="top" wrapText="1"/>
    </xf>
    <xf numFmtId="0" fontId="4" fillId="0" borderId="5" xfId="0" applyFont="1" applyBorder="1" applyAlignment="1">
      <alignment horizontal="right"/>
    </xf>
    <xf numFmtId="0" fontId="4" fillId="0" borderId="5" xfId="0" applyFont="1" applyBorder="1" applyAlignment="1">
      <alignment vertical="top" wrapText="1"/>
    </xf>
    <xf numFmtId="0" fontId="15" fillId="0" borderId="5" xfId="0" applyFont="1" applyBorder="1" applyAlignment="1">
      <alignment horizontal="right" vertical="top" wrapText="1"/>
    </xf>
    <xf numFmtId="0" fontId="4" fillId="0" borderId="5" xfId="0" applyFont="1" applyBorder="1" applyAlignment="1">
      <alignment horizontal="right" vertical="top"/>
    </xf>
    <xf numFmtId="0" fontId="4" fillId="0" borderId="5" xfId="0" applyFont="1" applyBorder="1" applyAlignment="1">
      <alignment vertical="top"/>
    </xf>
    <xf numFmtId="0" fontId="16" fillId="0" borderId="5" xfId="0" applyFont="1" applyBorder="1"/>
    <xf numFmtId="1" fontId="18" fillId="0" borderId="5" xfId="0" applyNumberFormat="1" applyFont="1" applyBorder="1"/>
    <xf numFmtId="0" fontId="17" fillId="0" borderId="5" xfId="0" applyFont="1" applyBorder="1"/>
    <xf numFmtId="164" fontId="14" fillId="0" borderId="5" xfId="0" applyNumberFormat="1" applyFont="1" applyBorder="1"/>
    <xf numFmtId="1" fontId="19" fillId="0" borderId="5" xfId="0" applyNumberFormat="1" applyFont="1" applyBorder="1"/>
    <xf numFmtId="0" fontId="20" fillId="0" borderId="4" xfId="0" applyFont="1" applyBorder="1"/>
    <xf numFmtId="2" fontId="0" fillId="0" borderId="0" xfId="0" applyNumberFormat="1"/>
    <xf numFmtId="2" fontId="3" fillId="0" borderId="5" xfId="0" applyNumberFormat="1" applyFont="1" applyBorder="1"/>
    <xf numFmtId="0" fontId="2" fillId="0" borderId="5" xfId="0" applyFont="1" applyBorder="1"/>
    <xf numFmtId="0" fontId="14" fillId="0" borderId="7" xfId="0" applyFont="1" applyBorder="1" applyAlignment="1">
      <alignment horizontal="center"/>
    </xf>
    <xf numFmtId="0" fontId="21" fillId="0" borderId="9" xfId="0" applyFont="1" applyBorder="1"/>
    <xf numFmtId="0" fontId="22" fillId="2" borderId="9" xfId="0" applyFont="1" applyFill="1" applyBorder="1" applyAlignment="1">
      <alignment horizontal="left"/>
    </xf>
    <xf numFmtId="0" fontId="14" fillId="0" borderId="10" xfId="0" applyFont="1" applyBorder="1"/>
    <xf numFmtId="2" fontId="14" fillId="0" borderId="11" xfId="0" applyNumberFormat="1" applyFont="1" applyBorder="1"/>
    <xf numFmtId="0" fontId="10" fillId="8" borderId="6" xfId="0" applyFont="1" applyFill="1" applyBorder="1" applyAlignment="1">
      <alignment wrapText="1"/>
    </xf>
    <xf numFmtId="0" fontId="14" fillId="0" borderId="7" xfId="0" applyFont="1" applyBorder="1"/>
    <xf numFmtId="0" fontId="14" fillId="0" borderId="8" xfId="0" applyFont="1" applyBorder="1"/>
    <xf numFmtId="0" fontId="3" fillId="0" borderId="12" xfId="0" applyFont="1" applyBorder="1" applyAlignment="1">
      <alignment wrapText="1"/>
    </xf>
    <xf numFmtId="0" fontId="3" fillId="0" borderId="13" xfId="0" applyFont="1" applyBorder="1" applyAlignment="1">
      <alignment wrapText="1"/>
    </xf>
    <xf numFmtId="0" fontId="3" fillId="0" borderId="17" xfId="0" applyFont="1" applyBorder="1" applyAlignment="1">
      <alignment wrapText="1"/>
    </xf>
    <xf numFmtId="0" fontId="3" fillId="0" borderId="18" xfId="0" applyFont="1" applyBorder="1" applyAlignment="1">
      <alignment wrapText="1"/>
    </xf>
    <xf numFmtId="0" fontId="3" fillId="0" borderId="19" xfId="0" applyFont="1" applyBorder="1" applyAlignment="1">
      <alignment wrapText="1"/>
    </xf>
    <xf numFmtId="0" fontId="10" fillId="0" borderId="3" xfId="0" applyFont="1" applyBorder="1"/>
    <xf numFmtId="0" fontId="11" fillId="0" borderId="3" xfId="0" applyFont="1" applyBorder="1"/>
    <xf numFmtId="2" fontId="0" fillId="0" borderId="5" xfId="0" applyNumberFormat="1" applyBorder="1"/>
    <xf numFmtId="0" fontId="10" fillId="0" borderId="3" xfId="0" applyFont="1" applyBorder="1" applyAlignment="1">
      <alignment horizontal="center" wrapText="1"/>
    </xf>
    <xf numFmtId="0" fontId="11" fillId="0" borderId="3" xfId="0" applyFont="1" applyBorder="1" applyAlignment="1">
      <alignment horizontal="center" wrapText="1"/>
    </xf>
    <xf numFmtId="0" fontId="23" fillId="0" borderId="21" xfId="0" applyFont="1" applyBorder="1" applyAlignment="1">
      <alignment horizontal="justify" vertical="center" wrapText="1"/>
    </xf>
    <xf numFmtId="0" fontId="23" fillId="0" borderId="22" xfId="0" applyFont="1" applyBorder="1" applyAlignment="1">
      <alignment horizontal="justify" vertical="center" wrapText="1"/>
    </xf>
    <xf numFmtId="0" fontId="24" fillId="0" borderId="23" xfId="0"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5" fillId="0" borderId="26" xfId="0" applyFont="1" applyBorder="1" applyAlignment="1">
      <alignment horizontal="justify" vertical="center" wrapText="1"/>
    </xf>
    <xf numFmtId="0" fontId="24" fillId="0" borderId="21" xfId="0" applyFont="1" applyBorder="1" applyAlignment="1">
      <alignment horizontal="justify" vertical="center" wrapText="1"/>
    </xf>
    <xf numFmtId="0" fontId="24" fillId="0" borderId="22" xfId="0" applyFont="1" applyBorder="1" applyAlignment="1">
      <alignment horizontal="justify" vertical="center" wrapText="1"/>
    </xf>
    <xf numFmtId="0" fontId="4" fillId="2" borderId="5" xfId="0" applyFont="1" applyFill="1" applyBorder="1" applyAlignment="1">
      <alignment horizontal="left" vertical="top" wrapText="1"/>
    </xf>
    <xf numFmtId="0" fontId="13" fillId="0" borderId="5" xfId="0" applyFont="1" applyBorder="1"/>
    <xf numFmtId="1" fontId="27" fillId="0" borderId="5" xfId="0" applyNumberFormat="1" applyFont="1" applyBorder="1"/>
    <xf numFmtId="0" fontId="32" fillId="0" borderId="3" xfId="0" applyFont="1" applyBorder="1"/>
    <xf numFmtId="0" fontId="31" fillId="0" borderId="5" xfId="0" applyFont="1" applyBorder="1" applyAlignment="1">
      <alignment vertical="center" wrapText="1"/>
    </xf>
    <xf numFmtId="0" fontId="31" fillId="0" borderId="5" xfId="0" applyFont="1" applyBorder="1" applyAlignment="1">
      <alignment horizontal="right" vertical="center" wrapText="1"/>
    </xf>
    <xf numFmtId="2" fontId="30" fillId="0" borderId="5" xfId="0" applyNumberFormat="1" applyFont="1" applyBorder="1" applyAlignment="1">
      <alignment horizontal="right" vertical="center" wrapText="1"/>
    </xf>
    <xf numFmtId="0" fontId="30" fillId="12" borderId="5" xfId="0" applyFont="1" applyFill="1" applyBorder="1" applyAlignment="1">
      <alignment vertical="center" wrapText="1"/>
    </xf>
    <xf numFmtId="0" fontId="30" fillId="12" borderId="5" xfId="0" applyFont="1" applyFill="1" applyBorder="1" applyAlignment="1">
      <alignment horizontal="center" vertical="center" wrapText="1"/>
    </xf>
    <xf numFmtId="0" fontId="30" fillId="12" borderId="5" xfId="0" applyFont="1" applyFill="1" applyBorder="1" applyAlignment="1">
      <alignment horizontal="justify" vertical="center" wrapText="1"/>
    </xf>
    <xf numFmtId="0" fontId="31" fillId="0" borderId="5" xfId="0" applyFont="1" applyBorder="1" applyAlignment="1">
      <alignment horizontal="left" vertical="center" wrapText="1"/>
    </xf>
    <xf numFmtId="0" fontId="31" fillId="13" borderId="5" xfId="0" applyFont="1" applyFill="1" applyBorder="1" applyAlignment="1">
      <alignment horizontal="left" vertical="center" wrapText="1"/>
    </xf>
    <xf numFmtId="0" fontId="30" fillId="0" borderId="5" xfId="0" applyFont="1" applyBorder="1" applyAlignment="1">
      <alignment horizontal="left" vertical="center" wrapText="1"/>
    </xf>
    <xf numFmtId="2" fontId="30" fillId="0" borderId="5" xfId="0" applyNumberFormat="1" applyFont="1" applyBorder="1" applyAlignment="1">
      <alignment vertical="center" wrapText="1"/>
    </xf>
    <xf numFmtId="0" fontId="30" fillId="0" borderId="5" xfId="0" applyFont="1" applyBorder="1" applyAlignment="1">
      <alignment horizontal="right" vertical="center" wrapText="1"/>
    </xf>
    <xf numFmtId="0" fontId="30" fillId="0" borderId="5" xfId="0" applyFont="1" applyBorder="1" applyAlignment="1">
      <alignment vertical="center" wrapText="1"/>
    </xf>
    <xf numFmtId="1" fontId="30" fillId="0" borderId="5" xfId="0" applyNumberFormat="1" applyFont="1" applyBorder="1" applyAlignment="1">
      <alignment horizontal="right" vertical="center" wrapText="1"/>
    </xf>
    <xf numFmtId="0" fontId="28" fillId="12" borderId="5" xfId="0" applyFont="1" applyFill="1" applyBorder="1" applyAlignment="1">
      <alignment horizontal="center" vertical="center" wrapText="1"/>
    </xf>
    <xf numFmtId="0" fontId="10" fillId="10" borderId="5" xfId="0" applyFont="1" applyFill="1" applyBorder="1" applyAlignment="1">
      <alignment horizontal="center" wrapText="1"/>
    </xf>
    <xf numFmtId="0" fontId="9" fillId="0" borderId="5" xfId="0" applyFont="1" applyBorder="1"/>
    <xf numFmtId="0" fontId="3" fillId="8" borderId="5" xfId="0" applyFont="1" applyFill="1" applyBorder="1" applyAlignment="1">
      <alignment horizontal="center" wrapText="1"/>
    </xf>
    <xf numFmtId="0" fontId="3" fillId="9" borderId="5" xfId="0" applyFont="1" applyFill="1" applyBorder="1" applyAlignment="1">
      <alignment horizontal="center" wrapText="1"/>
    </xf>
    <xf numFmtId="0" fontId="3" fillId="4" borderId="5" xfId="0" applyFont="1" applyFill="1" applyBorder="1" applyAlignment="1">
      <alignment horizontal="center" wrapText="1"/>
    </xf>
    <xf numFmtId="0" fontId="3" fillId="5" borderId="5" xfId="0" applyFont="1" applyFill="1" applyBorder="1" applyAlignment="1">
      <alignment horizontal="center" wrapText="1"/>
    </xf>
    <xf numFmtId="0" fontId="3" fillId="6" borderId="5" xfId="0" applyFont="1" applyFill="1" applyBorder="1" applyAlignment="1">
      <alignment horizontal="center" wrapText="1"/>
    </xf>
    <xf numFmtId="0" fontId="3" fillId="7" borderId="5" xfId="0" applyFont="1" applyFill="1" applyBorder="1" applyAlignment="1">
      <alignment horizontal="center" wrapText="1"/>
    </xf>
    <xf numFmtId="0" fontId="9" fillId="0" borderId="2" xfId="0" applyFont="1" applyBorder="1"/>
    <xf numFmtId="0" fontId="3" fillId="11" borderId="14" xfId="0" applyFont="1" applyFill="1" applyBorder="1" applyAlignment="1">
      <alignment horizontal="center" vertical="center" wrapText="1"/>
    </xf>
    <xf numFmtId="0" fontId="3" fillId="11" borderId="15" xfId="0" applyFont="1" applyFill="1" applyBorder="1" applyAlignment="1">
      <alignment horizontal="center" vertical="center" wrapText="1"/>
    </xf>
    <xf numFmtId="0" fontId="3" fillId="11" borderId="16" xfId="0" applyFont="1" applyFill="1" applyBorder="1" applyAlignment="1">
      <alignment horizontal="center" vertical="center" wrapText="1"/>
    </xf>
    <xf numFmtId="0" fontId="24" fillId="0" borderId="27" xfId="0" applyFont="1" applyBorder="1" applyAlignment="1">
      <alignment horizontal="justify" vertical="center" wrapText="1"/>
    </xf>
    <xf numFmtId="0" fontId="24" fillId="0" borderId="25" xfId="0" applyFont="1" applyBorder="1" applyAlignment="1">
      <alignment horizontal="justify" vertical="center" wrapText="1"/>
    </xf>
    <xf numFmtId="0" fontId="24" fillId="0" borderId="23" xfId="0" applyFont="1" applyBorder="1" applyAlignment="1">
      <alignment horizontal="justify" vertical="center" wrapText="1"/>
    </xf>
    <xf numFmtId="0" fontId="1" fillId="0" borderId="0" xfId="0" applyFont="1"/>
    <xf numFmtId="0" fontId="10" fillId="7" borderId="5" xfId="0" applyFont="1" applyFill="1" applyBorder="1" applyAlignment="1">
      <alignment wrapText="1"/>
    </xf>
    <xf numFmtId="0" fontId="1" fillId="0" borderId="5" xfId="0" applyFont="1" applyBorder="1"/>
    <xf numFmtId="0" fontId="11" fillId="0" borderId="5" xfId="0" applyFont="1" applyBorder="1"/>
    <xf numFmtId="2" fontId="14" fillId="0" borderId="5" xfId="0" applyNumberFormat="1" applyFont="1" applyBorder="1"/>
    <xf numFmtId="0" fontId="8" fillId="3" borderId="2" xfId="0" applyFont="1" applyFill="1" applyBorder="1" applyAlignment="1">
      <alignment horizontal="center" vertical="center" wrapText="1"/>
    </xf>
    <xf numFmtId="0" fontId="20" fillId="0" borderId="30" xfId="0" applyFont="1" applyBorder="1"/>
    <xf numFmtId="0" fontId="20" fillId="0" borderId="3" xfId="0" applyFont="1" applyBorder="1"/>
    <xf numFmtId="0" fontId="20" fillId="0" borderId="5" xfId="0" applyFont="1" applyBorder="1"/>
    <xf numFmtId="0" fontId="3" fillId="0" borderId="5" xfId="0" applyFont="1" applyBorder="1" applyAlignment="1">
      <alignment wrapText="1"/>
    </xf>
    <xf numFmtId="0" fontId="3" fillId="0" borderId="20" xfId="0" applyFont="1" applyBorder="1" applyAlignment="1">
      <alignment horizontal="center" wrapText="1"/>
    </xf>
    <xf numFmtId="0" fontId="3" fillId="0" borderId="28" xfId="0" applyFont="1" applyBorder="1" applyAlignment="1">
      <alignment horizontal="center" wrapText="1"/>
    </xf>
    <xf numFmtId="0" fontId="3" fillId="0" borderId="29" xfId="0" applyFont="1" applyBorder="1" applyAlignment="1">
      <alignment horizontal="center" wrapText="1"/>
    </xf>
    <xf numFmtId="0" fontId="3" fillId="0" borderId="5" xfId="0" applyFont="1" applyBorder="1" applyAlignment="1">
      <alignment horizontal="center" wrapText="1"/>
    </xf>
    <xf numFmtId="0" fontId="0" fillId="0" borderId="5" xfId="0" applyBorder="1"/>
    <xf numFmtId="0" fontId="10" fillId="0" borderId="5" xfId="0" applyFont="1" applyBorder="1" applyAlignment="1">
      <alignment wrapText="1"/>
    </xf>
    <xf numFmtId="0" fontId="33" fillId="2" borderId="5" xfId="0" applyFont="1" applyFill="1" applyBorder="1" applyAlignment="1">
      <alignment horizontal="left"/>
    </xf>
    <xf numFmtId="0" fontId="31" fillId="0" borderId="3" xfId="0" applyFont="1" applyBorder="1" applyAlignment="1">
      <alignment horizontal="right" vertical="center" wrapText="1"/>
    </xf>
    <xf numFmtId="2" fontId="30" fillId="0" borderId="3" xfId="0" applyNumberFormat="1" applyFont="1" applyBorder="1" applyAlignment="1">
      <alignment horizontal="right" vertical="center" wrapText="1"/>
    </xf>
    <xf numFmtId="0" fontId="30" fillId="0" borderId="3" xfId="0" applyFont="1" applyBorder="1" applyAlignment="1">
      <alignment horizontal="right" vertical="center" wrapText="1"/>
    </xf>
    <xf numFmtId="0" fontId="28" fillId="0"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C3843-1034-4424-B163-AF71707B4B9E}">
  <dimension ref="B1:Q81"/>
  <sheetViews>
    <sheetView tabSelected="1" workbookViewId="0">
      <selection activeCell="L44" sqref="L44"/>
    </sheetView>
  </sheetViews>
  <sheetFormatPr defaultRowHeight="15"/>
  <cols>
    <col min="2" max="2" width="11.42578125" customWidth="1"/>
    <col min="4" max="4" width="10.140625" customWidth="1"/>
    <col min="5" max="5" width="11.42578125" bestFit="1" customWidth="1"/>
    <col min="6" max="6" width="10.28515625" customWidth="1"/>
    <col min="9" max="10" width="10.5703125" customWidth="1"/>
    <col min="11" max="11" width="30.140625" customWidth="1"/>
    <col min="14" max="14" width="12.140625" customWidth="1"/>
    <col min="17" max="17" width="16.85546875" customWidth="1"/>
    <col min="18" max="18" width="15.7109375" customWidth="1"/>
    <col min="19" max="19" width="12" customWidth="1"/>
    <col min="20" max="20" width="11.7109375" customWidth="1"/>
  </cols>
  <sheetData>
    <row r="1" spans="2:17" ht="15.75" thickBot="1">
      <c r="B1" s="84" t="s">
        <v>151</v>
      </c>
      <c r="C1" s="84" t="s">
        <v>152</v>
      </c>
      <c r="D1" s="84"/>
      <c r="E1" s="84"/>
      <c r="F1" s="84"/>
      <c r="G1" s="84"/>
      <c r="H1" s="84" t="s">
        <v>196</v>
      </c>
      <c r="I1" s="84" t="s">
        <v>197</v>
      </c>
      <c r="K1" s="70" t="s">
        <v>195</v>
      </c>
    </row>
    <row r="2" spans="2:17" ht="38.25">
      <c r="B2" s="84"/>
      <c r="C2" s="74" t="s">
        <v>153</v>
      </c>
      <c r="D2" s="75" t="s">
        <v>154</v>
      </c>
      <c r="E2" s="75" t="s">
        <v>155</v>
      </c>
      <c r="F2" s="76" t="s">
        <v>127</v>
      </c>
      <c r="G2" s="75" t="s">
        <v>156</v>
      </c>
      <c r="H2" s="84"/>
      <c r="I2" s="84"/>
      <c r="K2" s="46" t="s">
        <v>9</v>
      </c>
      <c r="L2" s="47" t="s">
        <v>126</v>
      </c>
      <c r="M2" s="41" t="s">
        <v>125</v>
      </c>
      <c r="N2" s="48" t="s">
        <v>128</v>
      </c>
    </row>
    <row r="3" spans="2:17" ht="51">
      <c r="B3" s="77" t="s">
        <v>175</v>
      </c>
      <c r="C3" s="71">
        <v>5</v>
      </c>
      <c r="D3" s="72">
        <v>5</v>
      </c>
      <c r="E3" s="72">
        <v>5</v>
      </c>
      <c r="F3" s="72">
        <v>4.33</v>
      </c>
      <c r="G3" s="72">
        <v>4.83</v>
      </c>
      <c r="H3" s="72">
        <v>7</v>
      </c>
      <c r="I3" s="72">
        <v>10</v>
      </c>
      <c r="K3" s="42" t="s">
        <v>55</v>
      </c>
      <c r="L3" s="40">
        <v>7</v>
      </c>
      <c r="M3" s="39">
        <v>4.833333333333333</v>
      </c>
      <c r="N3" s="69">
        <v>10</v>
      </c>
    </row>
    <row r="4" spans="2:17" ht="38.25">
      <c r="B4" s="77" t="s">
        <v>180</v>
      </c>
      <c r="C4" s="71">
        <v>5</v>
      </c>
      <c r="D4" s="72">
        <v>5</v>
      </c>
      <c r="E4" s="72">
        <v>5</v>
      </c>
      <c r="F4" s="72">
        <v>4.2</v>
      </c>
      <c r="G4" s="72">
        <v>4.8</v>
      </c>
      <c r="H4" s="72">
        <v>4</v>
      </c>
      <c r="I4" s="72">
        <v>1</v>
      </c>
      <c r="K4" s="42" t="s">
        <v>60</v>
      </c>
      <c r="L4" s="40">
        <v>4</v>
      </c>
      <c r="M4" s="39">
        <v>4.8</v>
      </c>
      <c r="N4" s="69">
        <v>1</v>
      </c>
      <c r="Q4" s="38"/>
    </row>
    <row r="5" spans="2:17" ht="25.5">
      <c r="B5" s="77" t="s">
        <v>177</v>
      </c>
      <c r="C5" s="71">
        <v>4.75</v>
      </c>
      <c r="D5" s="72">
        <v>5</v>
      </c>
      <c r="E5" s="72">
        <v>5</v>
      </c>
      <c r="F5" s="72">
        <v>4.4000000000000004</v>
      </c>
      <c r="G5" s="72">
        <v>4.79</v>
      </c>
      <c r="H5" s="72">
        <v>2</v>
      </c>
      <c r="I5" s="72">
        <v>5</v>
      </c>
      <c r="K5" s="42" t="s">
        <v>58</v>
      </c>
      <c r="L5" s="40">
        <v>2</v>
      </c>
      <c r="M5" s="39">
        <v>4.7874999999999996</v>
      </c>
      <c r="N5" s="69">
        <v>5</v>
      </c>
    </row>
    <row r="6" spans="2:17" ht="25.5">
      <c r="B6" s="77" t="s">
        <v>178</v>
      </c>
      <c r="C6" s="71">
        <v>4.75</v>
      </c>
      <c r="D6" s="72">
        <v>5</v>
      </c>
      <c r="E6" s="72">
        <v>5</v>
      </c>
      <c r="F6" s="72">
        <v>4.4000000000000004</v>
      </c>
      <c r="G6" s="72">
        <v>4.79</v>
      </c>
      <c r="H6" s="72">
        <v>4</v>
      </c>
      <c r="I6" s="72">
        <v>4</v>
      </c>
      <c r="K6" s="42" t="s">
        <v>57</v>
      </c>
      <c r="L6" s="40">
        <v>4</v>
      </c>
      <c r="M6" s="39">
        <v>4.7874999999999996</v>
      </c>
      <c r="N6" s="69">
        <v>4</v>
      </c>
    </row>
    <row r="7" spans="2:17" ht="25.5">
      <c r="B7" s="77" t="s">
        <v>188</v>
      </c>
      <c r="C7" s="71">
        <v>4.75</v>
      </c>
      <c r="D7" s="72">
        <v>5</v>
      </c>
      <c r="E7" s="72">
        <v>5</v>
      </c>
      <c r="F7" s="72">
        <v>4.4000000000000004</v>
      </c>
      <c r="G7" s="72">
        <v>4.79</v>
      </c>
      <c r="H7" s="72">
        <v>3</v>
      </c>
      <c r="I7" s="72">
        <v>0</v>
      </c>
      <c r="K7" s="42" t="s">
        <v>68</v>
      </c>
      <c r="L7" s="40">
        <v>3</v>
      </c>
      <c r="M7" s="39">
        <v>4.7874999999999996</v>
      </c>
      <c r="N7" s="69">
        <v>0</v>
      </c>
    </row>
    <row r="8" spans="2:17" ht="15.75">
      <c r="B8" s="77" t="s">
        <v>179</v>
      </c>
      <c r="C8" s="71">
        <v>5</v>
      </c>
      <c r="D8" s="72">
        <v>5</v>
      </c>
      <c r="E8" s="72">
        <v>4.67</v>
      </c>
      <c r="F8" s="72">
        <v>4.4000000000000004</v>
      </c>
      <c r="G8" s="72">
        <v>4.7699999999999996</v>
      </c>
      <c r="H8" s="72">
        <v>2</v>
      </c>
      <c r="I8" s="72">
        <v>0</v>
      </c>
      <c r="K8" s="42" t="s">
        <v>59</v>
      </c>
      <c r="L8" s="40">
        <v>2</v>
      </c>
      <c r="M8" s="39">
        <v>4.7666666666666666</v>
      </c>
      <c r="N8" s="69">
        <v>0</v>
      </c>
    </row>
    <row r="9" spans="2:17" ht="51">
      <c r="B9" s="77" t="s">
        <v>191</v>
      </c>
      <c r="C9" s="71">
        <v>5</v>
      </c>
      <c r="D9" s="72">
        <v>5</v>
      </c>
      <c r="E9" s="72">
        <v>5</v>
      </c>
      <c r="F9" s="72">
        <v>4</v>
      </c>
      <c r="G9" s="72">
        <v>4.75</v>
      </c>
      <c r="H9" s="72">
        <v>4</v>
      </c>
      <c r="I9" s="72">
        <v>2</v>
      </c>
      <c r="K9" s="42" t="s">
        <v>71</v>
      </c>
      <c r="L9" s="40">
        <v>4</v>
      </c>
      <c r="M9" s="39">
        <v>4.75</v>
      </c>
      <c r="N9" s="69">
        <v>2</v>
      </c>
    </row>
    <row r="10" spans="2:17" ht="38.25">
      <c r="B10" s="77" t="s">
        <v>186</v>
      </c>
      <c r="C10" s="71">
        <v>4.5</v>
      </c>
      <c r="D10" s="72">
        <v>5</v>
      </c>
      <c r="E10" s="72">
        <v>5</v>
      </c>
      <c r="F10" s="72">
        <v>4.4000000000000004</v>
      </c>
      <c r="G10" s="72">
        <v>4.7300000000000004</v>
      </c>
      <c r="H10" s="72">
        <v>1</v>
      </c>
      <c r="I10" s="72">
        <v>1</v>
      </c>
      <c r="K10" s="42" t="s">
        <v>66</v>
      </c>
      <c r="L10" s="40">
        <v>1</v>
      </c>
      <c r="M10" s="39">
        <v>4.7249999999999996</v>
      </c>
      <c r="N10" s="69">
        <v>1</v>
      </c>
    </row>
    <row r="11" spans="2:17" ht="51">
      <c r="B11" s="77" t="s">
        <v>160</v>
      </c>
      <c r="C11" s="71">
        <v>5</v>
      </c>
      <c r="D11" s="72">
        <v>4.25</v>
      </c>
      <c r="E11" s="72">
        <v>5</v>
      </c>
      <c r="F11" s="72">
        <v>4.5</v>
      </c>
      <c r="G11" s="72">
        <v>4.6900000000000004</v>
      </c>
      <c r="H11" s="72">
        <v>8</v>
      </c>
      <c r="I11" s="72">
        <v>6</v>
      </c>
      <c r="K11" s="42" t="s">
        <v>13</v>
      </c>
      <c r="L11" s="40">
        <v>8</v>
      </c>
      <c r="M11" s="39">
        <v>4.6875</v>
      </c>
      <c r="N11" s="69">
        <v>6</v>
      </c>
    </row>
    <row r="12" spans="2:17" ht="38.25">
      <c r="B12" s="77" t="s">
        <v>184</v>
      </c>
      <c r="C12" s="71">
        <v>4.5</v>
      </c>
      <c r="D12" s="72">
        <v>5</v>
      </c>
      <c r="E12" s="72">
        <v>4.67</v>
      </c>
      <c r="F12" s="72">
        <v>4.4000000000000004</v>
      </c>
      <c r="G12" s="72">
        <v>4.6399999999999997</v>
      </c>
      <c r="H12" s="72">
        <v>1</v>
      </c>
      <c r="I12" s="72">
        <v>4</v>
      </c>
      <c r="K12" s="42" t="s">
        <v>64</v>
      </c>
      <c r="L12" s="40">
        <v>1</v>
      </c>
      <c r="M12" s="39">
        <v>4.6416666666666666</v>
      </c>
      <c r="N12" s="69">
        <v>4</v>
      </c>
    </row>
    <row r="13" spans="2:17" ht="25.5">
      <c r="B13" s="77" t="s">
        <v>176</v>
      </c>
      <c r="C13" s="71">
        <v>4</v>
      </c>
      <c r="D13" s="72">
        <v>5</v>
      </c>
      <c r="E13" s="72">
        <v>5</v>
      </c>
      <c r="F13" s="72">
        <v>4.4000000000000004</v>
      </c>
      <c r="G13" s="72">
        <v>4.5999999999999996</v>
      </c>
      <c r="H13" s="72">
        <v>2</v>
      </c>
      <c r="I13" s="72">
        <v>1</v>
      </c>
      <c r="K13" s="42" t="s">
        <v>56</v>
      </c>
      <c r="L13" s="40">
        <v>2</v>
      </c>
      <c r="M13" s="39">
        <v>4.5999999999999996</v>
      </c>
      <c r="N13" s="69">
        <v>1</v>
      </c>
    </row>
    <row r="14" spans="2:17" ht="38.25">
      <c r="B14" s="77" t="s">
        <v>190</v>
      </c>
      <c r="C14" s="71">
        <v>4.5</v>
      </c>
      <c r="D14" s="72">
        <v>4.5</v>
      </c>
      <c r="E14" s="72">
        <v>5</v>
      </c>
      <c r="F14" s="72">
        <v>4.33</v>
      </c>
      <c r="G14" s="72">
        <v>4.58</v>
      </c>
      <c r="H14" s="72">
        <v>5</v>
      </c>
      <c r="I14" s="72">
        <v>3</v>
      </c>
      <c r="K14" s="42" t="s">
        <v>70</v>
      </c>
      <c r="L14" s="40">
        <v>5</v>
      </c>
      <c r="M14" s="39">
        <v>4.583333333333333</v>
      </c>
      <c r="N14" s="69">
        <v>3</v>
      </c>
    </row>
    <row r="15" spans="2:17" ht="38.25">
      <c r="B15" s="77" t="s">
        <v>173</v>
      </c>
      <c r="C15" s="71">
        <v>4.75</v>
      </c>
      <c r="D15" s="72">
        <v>5</v>
      </c>
      <c r="E15" s="72">
        <v>4.33</v>
      </c>
      <c r="F15" s="72">
        <v>4.2</v>
      </c>
      <c r="G15" s="72">
        <v>4.57</v>
      </c>
      <c r="H15" s="72">
        <v>3</v>
      </c>
      <c r="I15" s="72">
        <v>3</v>
      </c>
      <c r="K15" s="42" t="s">
        <v>26</v>
      </c>
      <c r="L15" s="40">
        <v>3</v>
      </c>
      <c r="M15" s="39">
        <v>4.5708333333333329</v>
      </c>
      <c r="N15" s="69">
        <v>3</v>
      </c>
    </row>
    <row r="16" spans="2:17" ht="38.25">
      <c r="B16" s="77" t="s">
        <v>157</v>
      </c>
      <c r="C16" s="71">
        <v>3.5</v>
      </c>
      <c r="D16" s="72">
        <v>5</v>
      </c>
      <c r="E16" s="72">
        <v>5</v>
      </c>
      <c r="F16" s="72">
        <v>4.33</v>
      </c>
      <c r="G16" s="72">
        <v>4.46</v>
      </c>
      <c r="H16" s="72">
        <v>5</v>
      </c>
      <c r="I16" s="72">
        <v>5</v>
      </c>
      <c r="K16" s="42" t="s">
        <v>10</v>
      </c>
      <c r="L16" s="40">
        <v>5</v>
      </c>
      <c r="M16" s="39">
        <v>4.458333333333333</v>
      </c>
      <c r="N16" s="69">
        <v>5</v>
      </c>
    </row>
    <row r="17" spans="2:14" ht="38.25">
      <c r="B17" s="77" t="s">
        <v>185</v>
      </c>
      <c r="C17" s="71">
        <v>4.5</v>
      </c>
      <c r="D17" s="72">
        <v>3.75</v>
      </c>
      <c r="E17" s="72">
        <v>5</v>
      </c>
      <c r="F17" s="72">
        <v>4.4000000000000004</v>
      </c>
      <c r="G17" s="72">
        <v>4.41</v>
      </c>
      <c r="H17" s="72">
        <v>3</v>
      </c>
      <c r="I17" s="72">
        <v>2</v>
      </c>
      <c r="K17" s="42" t="s">
        <v>65</v>
      </c>
      <c r="L17" s="40">
        <v>3</v>
      </c>
      <c r="M17" s="39">
        <v>4.4124999999999996</v>
      </c>
      <c r="N17" s="69">
        <v>2</v>
      </c>
    </row>
    <row r="18" spans="2:14" ht="25.5">
      <c r="B18" s="77" t="s">
        <v>174</v>
      </c>
      <c r="C18" s="71">
        <v>3.5</v>
      </c>
      <c r="D18" s="72">
        <v>5</v>
      </c>
      <c r="E18" s="72">
        <v>4.67</v>
      </c>
      <c r="F18" s="72">
        <v>4.4000000000000004</v>
      </c>
      <c r="G18" s="72">
        <v>4.3899999999999997</v>
      </c>
      <c r="H18" s="72">
        <v>2</v>
      </c>
      <c r="I18" s="72">
        <v>0</v>
      </c>
      <c r="K18" s="42" t="s">
        <v>54</v>
      </c>
      <c r="L18" s="40">
        <v>2</v>
      </c>
      <c r="M18" s="39">
        <v>4.3916666666666666</v>
      </c>
      <c r="N18" s="69">
        <v>0</v>
      </c>
    </row>
    <row r="19" spans="2:14" ht="15.75">
      <c r="B19" s="77" t="s">
        <v>181</v>
      </c>
      <c r="C19" s="71">
        <v>4</v>
      </c>
      <c r="D19" s="72">
        <v>5</v>
      </c>
      <c r="E19" s="72">
        <v>4</v>
      </c>
      <c r="F19" s="72">
        <v>4.4000000000000004</v>
      </c>
      <c r="G19" s="72">
        <v>4.3499999999999996</v>
      </c>
      <c r="H19" s="72">
        <v>2</v>
      </c>
      <c r="I19" s="72">
        <v>0</v>
      </c>
      <c r="K19" s="42" t="s">
        <v>61</v>
      </c>
      <c r="L19" s="40">
        <v>2</v>
      </c>
      <c r="M19" s="39">
        <v>4.3499999999999996</v>
      </c>
      <c r="N19" s="69">
        <v>0</v>
      </c>
    </row>
    <row r="20" spans="2:14" ht="51">
      <c r="B20" s="77" t="s">
        <v>183</v>
      </c>
      <c r="C20" s="71">
        <v>5</v>
      </c>
      <c r="D20" s="72">
        <v>3.75</v>
      </c>
      <c r="E20" s="72">
        <v>4</v>
      </c>
      <c r="F20" s="72">
        <v>4.4000000000000004</v>
      </c>
      <c r="G20" s="72">
        <v>4.29</v>
      </c>
      <c r="H20" s="72">
        <v>5</v>
      </c>
      <c r="I20" s="72">
        <v>3</v>
      </c>
      <c r="K20" s="42" t="s">
        <v>63</v>
      </c>
      <c r="L20" s="40">
        <v>5</v>
      </c>
      <c r="M20" s="39">
        <v>4.2874999999999996</v>
      </c>
      <c r="N20" s="69">
        <v>3</v>
      </c>
    </row>
    <row r="21" spans="2:14" ht="38.25">
      <c r="B21" s="77" t="s">
        <v>189</v>
      </c>
      <c r="C21" s="71">
        <v>4.25</v>
      </c>
      <c r="D21" s="72">
        <v>5</v>
      </c>
      <c r="E21" s="72">
        <v>4</v>
      </c>
      <c r="F21" s="72">
        <v>3.8</v>
      </c>
      <c r="G21" s="72">
        <v>4.26</v>
      </c>
      <c r="H21" s="72">
        <v>1</v>
      </c>
      <c r="I21" s="72">
        <v>1</v>
      </c>
      <c r="K21" s="42" t="s">
        <v>69</v>
      </c>
      <c r="L21" s="40">
        <v>1</v>
      </c>
      <c r="M21" s="39">
        <v>4.2625000000000002</v>
      </c>
      <c r="N21" s="69">
        <v>1</v>
      </c>
    </row>
    <row r="22" spans="2:14" ht="38.25">
      <c r="B22" s="77" t="s">
        <v>192</v>
      </c>
      <c r="C22" s="71">
        <v>4.25</v>
      </c>
      <c r="D22" s="72">
        <v>5</v>
      </c>
      <c r="E22" s="72">
        <v>3.67</v>
      </c>
      <c r="F22" s="72">
        <v>4</v>
      </c>
      <c r="G22" s="72">
        <v>4.2300000000000004</v>
      </c>
      <c r="H22" s="72">
        <v>2</v>
      </c>
      <c r="I22" s="72">
        <v>1</v>
      </c>
      <c r="K22" s="42" t="s">
        <v>72</v>
      </c>
      <c r="L22" s="40">
        <v>2</v>
      </c>
      <c r="M22" s="39">
        <v>4.2291666666666661</v>
      </c>
      <c r="N22" s="69">
        <v>1</v>
      </c>
    </row>
    <row r="23" spans="2:14" ht="51">
      <c r="B23" s="78" t="s">
        <v>164</v>
      </c>
      <c r="C23" s="71">
        <v>3.7</v>
      </c>
      <c r="D23" s="72">
        <v>3.75</v>
      </c>
      <c r="E23" s="72">
        <v>4.33</v>
      </c>
      <c r="F23" s="72">
        <v>4.83</v>
      </c>
      <c r="G23" s="72">
        <v>4.17</v>
      </c>
      <c r="H23" s="72">
        <v>7</v>
      </c>
      <c r="I23" s="72">
        <v>8</v>
      </c>
      <c r="K23" s="43" t="s">
        <v>17</v>
      </c>
      <c r="L23" s="40">
        <v>7</v>
      </c>
      <c r="M23" s="39">
        <v>4.1666666666666661</v>
      </c>
      <c r="N23" s="69">
        <v>8</v>
      </c>
    </row>
    <row r="24" spans="2:14" ht="25.5">
      <c r="B24" s="77" t="s">
        <v>172</v>
      </c>
      <c r="C24" s="71">
        <v>3.25</v>
      </c>
      <c r="D24" s="72">
        <v>5</v>
      </c>
      <c r="E24" s="72">
        <v>4</v>
      </c>
      <c r="F24" s="72">
        <v>4.2</v>
      </c>
      <c r="G24" s="72">
        <v>4.1100000000000003</v>
      </c>
      <c r="H24" s="72">
        <v>2</v>
      </c>
      <c r="I24" s="72">
        <v>1</v>
      </c>
      <c r="K24" s="42" t="s">
        <v>25</v>
      </c>
      <c r="L24" s="40">
        <v>2</v>
      </c>
      <c r="M24" s="39">
        <v>4.1124999999999998</v>
      </c>
      <c r="N24" s="69">
        <v>1</v>
      </c>
    </row>
    <row r="25" spans="2:14" ht="25.5">
      <c r="B25" s="77" t="s">
        <v>158</v>
      </c>
      <c r="C25" s="71">
        <v>3.25</v>
      </c>
      <c r="D25" s="72">
        <v>4.5</v>
      </c>
      <c r="E25" s="72">
        <v>4.33</v>
      </c>
      <c r="F25" s="72">
        <v>4.17</v>
      </c>
      <c r="G25" s="72">
        <v>4.0599999999999996</v>
      </c>
      <c r="H25" s="72">
        <v>6</v>
      </c>
      <c r="I25" s="72">
        <v>2</v>
      </c>
      <c r="K25" s="42" t="s">
        <v>11</v>
      </c>
      <c r="L25" s="40">
        <v>6</v>
      </c>
      <c r="M25" s="39">
        <v>4.0625</v>
      </c>
      <c r="N25" s="69">
        <v>2</v>
      </c>
    </row>
    <row r="26" spans="2:14" ht="25.5">
      <c r="B26" s="77" t="s">
        <v>187</v>
      </c>
      <c r="C26" s="71">
        <v>3.25</v>
      </c>
      <c r="D26" s="72">
        <v>5</v>
      </c>
      <c r="E26" s="72">
        <v>4</v>
      </c>
      <c r="F26" s="72">
        <v>4</v>
      </c>
      <c r="G26" s="72">
        <v>4.0599999999999996</v>
      </c>
      <c r="H26" s="72">
        <v>2</v>
      </c>
      <c r="I26" s="72">
        <v>5</v>
      </c>
      <c r="K26" s="42" t="s">
        <v>67</v>
      </c>
      <c r="L26" s="40">
        <v>2</v>
      </c>
      <c r="M26" s="39">
        <v>4.0625</v>
      </c>
      <c r="N26" s="69">
        <v>5</v>
      </c>
    </row>
    <row r="27" spans="2:14" ht="38.25">
      <c r="B27" s="77" t="s">
        <v>166</v>
      </c>
      <c r="C27" s="71">
        <v>3.5</v>
      </c>
      <c r="D27" s="72">
        <v>5</v>
      </c>
      <c r="E27" s="72">
        <v>3.67</v>
      </c>
      <c r="F27" s="72">
        <v>4</v>
      </c>
      <c r="G27" s="72">
        <v>4.04</v>
      </c>
      <c r="H27" s="72">
        <v>2</v>
      </c>
      <c r="I27" s="72">
        <v>2</v>
      </c>
      <c r="K27" s="42" t="s">
        <v>20</v>
      </c>
      <c r="L27" s="40">
        <v>2</v>
      </c>
      <c r="M27" s="39">
        <v>4.0416666666666661</v>
      </c>
      <c r="N27" s="69">
        <v>2</v>
      </c>
    </row>
    <row r="28" spans="2:14" ht="38.25">
      <c r="B28" s="77" t="s">
        <v>168</v>
      </c>
      <c r="C28" s="71">
        <v>2.75</v>
      </c>
      <c r="D28" s="72">
        <v>5</v>
      </c>
      <c r="E28" s="72">
        <v>4</v>
      </c>
      <c r="F28" s="72">
        <v>4.2</v>
      </c>
      <c r="G28" s="72">
        <v>3.99</v>
      </c>
      <c r="H28" s="72">
        <v>2</v>
      </c>
      <c r="I28" s="72">
        <v>0</v>
      </c>
      <c r="K28" s="42" t="s">
        <v>22</v>
      </c>
      <c r="L28" s="40">
        <v>2</v>
      </c>
      <c r="M28" s="39">
        <v>3.9874999999999998</v>
      </c>
      <c r="N28" s="69">
        <v>0</v>
      </c>
    </row>
    <row r="29" spans="2:14" ht="38.25">
      <c r="B29" s="77" t="s">
        <v>170</v>
      </c>
      <c r="C29" s="71">
        <v>3.25</v>
      </c>
      <c r="D29" s="72">
        <v>5</v>
      </c>
      <c r="E29" s="72">
        <v>4</v>
      </c>
      <c r="F29" s="72">
        <v>3.4</v>
      </c>
      <c r="G29" s="72">
        <v>3.91</v>
      </c>
      <c r="H29" s="72">
        <v>1</v>
      </c>
      <c r="I29" s="72">
        <v>1</v>
      </c>
      <c r="K29" s="42" t="s">
        <v>24</v>
      </c>
      <c r="L29" s="40">
        <v>1</v>
      </c>
      <c r="M29" s="39">
        <v>3.9125000000000001</v>
      </c>
      <c r="N29" s="69">
        <v>1</v>
      </c>
    </row>
    <row r="30" spans="2:14" ht="25.5">
      <c r="B30" s="77" t="s">
        <v>171</v>
      </c>
      <c r="C30" s="71">
        <v>3.25</v>
      </c>
      <c r="D30" s="72">
        <v>5</v>
      </c>
      <c r="E30" s="72">
        <v>4</v>
      </c>
      <c r="F30" s="72">
        <v>3.4</v>
      </c>
      <c r="G30" s="72">
        <v>3.91</v>
      </c>
      <c r="H30" s="72">
        <v>1</v>
      </c>
      <c r="I30" s="72">
        <v>1</v>
      </c>
      <c r="K30" s="42" t="s">
        <v>31</v>
      </c>
      <c r="L30" s="40">
        <v>1</v>
      </c>
      <c r="M30" s="39">
        <v>3.9125000000000001</v>
      </c>
      <c r="N30" s="69">
        <v>1</v>
      </c>
    </row>
    <row r="31" spans="2:14" ht="38.25">
      <c r="B31" s="77" t="s">
        <v>169</v>
      </c>
      <c r="C31" s="71">
        <v>3.25</v>
      </c>
      <c r="D31" s="72">
        <v>5</v>
      </c>
      <c r="E31" s="72">
        <v>4</v>
      </c>
      <c r="F31" s="72">
        <v>4</v>
      </c>
      <c r="G31" s="72">
        <v>3.86</v>
      </c>
      <c r="H31" s="72">
        <v>2</v>
      </c>
      <c r="I31" s="72">
        <v>5</v>
      </c>
      <c r="K31" s="42" t="s">
        <v>23</v>
      </c>
      <c r="L31" s="40">
        <v>2</v>
      </c>
      <c r="M31" s="39">
        <v>3.8624999999999998</v>
      </c>
      <c r="N31" s="69">
        <v>5</v>
      </c>
    </row>
    <row r="32" spans="2:14" ht="25.5">
      <c r="B32" s="77" t="s">
        <v>182</v>
      </c>
      <c r="C32" s="71">
        <v>3.25</v>
      </c>
      <c r="D32" s="72">
        <v>3.75</v>
      </c>
      <c r="E32" s="72">
        <v>4.67</v>
      </c>
      <c r="F32" s="72">
        <v>3.6</v>
      </c>
      <c r="G32" s="72">
        <v>3.82</v>
      </c>
      <c r="H32" s="72">
        <v>1</v>
      </c>
      <c r="I32" s="72">
        <v>0</v>
      </c>
      <c r="K32" s="42" t="s">
        <v>62</v>
      </c>
      <c r="L32" s="40">
        <v>1</v>
      </c>
      <c r="M32" s="39">
        <v>3.8166666666666669</v>
      </c>
      <c r="N32" s="69">
        <v>0</v>
      </c>
    </row>
    <row r="33" spans="2:14" ht="25.5">
      <c r="B33" s="77" t="s">
        <v>167</v>
      </c>
      <c r="C33" s="71">
        <v>2.5</v>
      </c>
      <c r="D33" s="72">
        <v>4.25</v>
      </c>
      <c r="E33" s="72">
        <v>4.33</v>
      </c>
      <c r="F33" s="72">
        <v>3.8</v>
      </c>
      <c r="G33" s="72">
        <v>3.72</v>
      </c>
      <c r="H33" s="72">
        <v>2</v>
      </c>
      <c r="I33" s="72">
        <v>0</v>
      </c>
      <c r="K33" s="42" t="s">
        <v>21</v>
      </c>
      <c r="L33" s="40">
        <v>2</v>
      </c>
      <c r="M33" s="39">
        <v>3.7208333333333332</v>
      </c>
      <c r="N33" s="69">
        <v>0</v>
      </c>
    </row>
    <row r="34" spans="2:14" ht="38.25">
      <c r="B34" s="77" t="s">
        <v>159</v>
      </c>
      <c r="C34" s="71">
        <v>1.75</v>
      </c>
      <c r="D34" s="72">
        <v>4.75</v>
      </c>
      <c r="E34" s="72">
        <v>3.33</v>
      </c>
      <c r="F34" s="72">
        <v>3.5</v>
      </c>
      <c r="G34" s="72">
        <v>3.33</v>
      </c>
      <c r="H34" s="72">
        <v>1</v>
      </c>
      <c r="I34" s="72">
        <v>0</v>
      </c>
      <c r="K34" s="42" t="s">
        <v>12</v>
      </c>
      <c r="L34" s="40">
        <v>1</v>
      </c>
      <c r="M34" s="39">
        <v>3.3333333333333335</v>
      </c>
      <c r="N34" s="69">
        <v>0</v>
      </c>
    </row>
    <row r="35" spans="2:14" ht="38.25">
      <c r="B35" s="78" t="s">
        <v>165</v>
      </c>
      <c r="C35" s="71">
        <v>1.25</v>
      </c>
      <c r="D35" s="72">
        <v>4</v>
      </c>
      <c r="E35" s="72">
        <v>3.67</v>
      </c>
      <c r="F35" s="72">
        <v>3.6</v>
      </c>
      <c r="G35" s="72">
        <v>3.13</v>
      </c>
      <c r="H35" s="72">
        <v>1</v>
      </c>
      <c r="I35" s="72">
        <v>0</v>
      </c>
      <c r="K35" s="43" t="s">
        <v>18</v>
      </c>
      <c r="L35" s="40">
        <v>1</v>
      </c>
      <c r="M35" s="39">
        <v>3.1291666666666664</v>
      </c>
      <c r="N35" s="69">
        <v>0</v>
      </c>
    </row>
    <row r="36" spans="2:14" ht="38.25">
      <c r="B36" s="77" t="s">
        <v>161</v>
      </c>
      <c r="C36" s="71">
        <v>1.5</v>
      </c>
      <c r="D36" s="72">
        <v>3.25</v>
      </c>
      <c r="E36" s="72">
        <v>2.33</v>
      </c>
      <c r="F36" s="72">
        <v>2.5</v>
      </c>
      <c r="G36" s="72">
        <v>2.4</v>
      </c>
      <c r="H36" s="72">
        <v>4</v>
      </c>
      <c r="I36" s="72">
        <v>0</v>
      </c>
      <c r="K36" s="42" t="s">
        <v>14</v>
      </c>
      <c r="L36" s="40">
        <v>4</v>
      </c>
      <c r="M36" s="39">
        <v>2.3958333333333335</v>
      </c>
      <c r="N36" s="69">
        <v>0</v>
      </c>
    </row>
    <row r="37" spans="2:14" ht="38.25">
      <c r="B37" s="77" t="s">
        <v>162</v>
      </c>
      <c r="C37" s="71">
        <v>1.5</v>
      </c>
      <c r="D37" s="72">
        <v>2.75</v>
      </c>
      <c r="E37" s="72">
        <v>2.33</v>
      </c>
      <c r="F37" s="72">
        <v>2.5</v>
      </c>
      <c r="G37" s="72">
        <v>2.27</v>
      </c>
      <c r="H37" s="72">
        <v>4</v>
      </c>
      <c r="I37" s="72">
        <v>0</v>
      </c>
      <c r="K37" s="42" t="s">
        <v>15</v>
      </c>
      <c r="L37" s="40">
        <v>4</v>
      </c>
      <c r="M37" s="39">
        <v>2.2708333333333335</v>
      </c>
      <c r="N37" s="69">
        <v>0</v>
      </c>
    </row>
    <row r="38" spans="2:14" ht="38.25">
      <c r="B38" s="77" t="s">
        <v>163</v>
      </c>
      <c r="C38" s="71">
        <v>1.5</v>
      </c>
      <c r="D38" s="72">
        <v>2.75</v>
      </c>
      <c r="E38" s="72">
        <v>2.33</v>
      </c>
      <c r="F38" s="72">
        <v>2.5</v>
      </c>
      <c r="G38" s="72">
        <v>2.27</v>
      </c>
      <c r="H38" s="72">
        <v>4</v>
      </c>
      <c r="I38" s="72">
        <v>0</v>
      </c>
      <c r="K38" s="42" t="s">
        <v>16</v>
      </c>
      <c r="L38" s="40">
        <v>4</v>
      </c>
      <c r="M38" s="39">
        <v>2.2708333333333335</v>
      </c>
      <c r="N38" s="69">
        <v>0</v>
      </c>
    </row>
    <row r="39" spans="2:14" ht="15.75" thickBot="1">
      <c r="B39" s="79" t="s">
        <v>193</v>
      </c>
      <c r="C39" s="80">
        <f>AVERAGE(C3:C38)</f>
        <v>3.6999999999999997</v>
      </c>
      <c r="D39" s="73">
        <f t="shared" ref="D39:I39" si="0">AVERAGE(D3:D38)</f>
        <v>4.583333333333333</v>
      </c>
      <c r="E39" s="73">
        <f t="shared" si="0"/>
        <v>4.2591666666666681</v>
      </c>
      <c r="F39" s="73">
        <f t="shared" si="0"/>
        <v>4.0080555555555559</v>
      </c>
      <c r="G39" s="73">
        <f t="shared" si="0"/>
        <v>4.1325000000000012</v>
      </c>
      <c r="H39" s="81">
        <f t="shared" si="0"/>
        <v>3</v>
      </c>
      <c r="I39" s="73">
        <f t="shared" si="0"/>
        <v>2.1388888888888888</v>
      </c>
      <c r="K39" s="44" t="s">
        <v>129</v>
      </c>
      <c r="L39" s="45">
        <f>AVERAGE(L3:L38)</f>
        <v>3</v>
      </c>
      <c r="M39" s="45">
        <f>AVERAGE(M3:M38)</f>
        <v>4.1325231481481488</v>
      </c>
      <c r="N39" s="45">
        <f>AVERAGE(N3:N38)</f>
        <v>2.1388888888888888</v>
      </c>
    </row>
    <row r="40" spans="2:14">
      <c r="B40" s="79" t="s">
        <v>194</v>
      </c>
      <c r="C40" s="82">
        <f>MEDIAN(C3:C38)</f>
        <v>3.85</v>
      </c>
      <c r="D40" s="73">
        <f t="shared" ref="D40:I40" si="1">MEDIAN(D3:D38)</f>
        <v>5</v>
      </c>
      <c r="E40" s="81">
        <f t="shared" si="1"/>
        <v>4.33</v>
      </c>
      <c r="F40" s="73">
        <f t="shared" si="1"/>
        <v>4.2</v>
      </c>
      <c r="G40" s="73">
        <f t="shared" si="1"/>
        <v>4.2750000000000004</v>
      </c>
      <c r="H40" s="83">
        <f t="shared" si="1"/>
        <v>2</v>
      </c>
      <c r="I40" s="81">
        <f t="shared" si="1"/>
        <v>1</v>
      </c>
    </row>
    <row r="42" spans="2:14">
      <c r="J42" s="120"/>
    </row>
    <row r="43" spans="2:14">
      <c r="J43" s="120"/>
    </row>
    <row r="44" spans="2:14">
      <c r="J44" s="117"/>
    </row>
    <row r="45" spans="2:14">
      <c r="J45" s="117"/>
    </row>
    <row r="46" spans="2:14">
      <c r="J46" s="117"/>
    </row>
    <row r="47" spans="2:14" ht="32.450000000000003" customHeight="1">
      <c r="J47" s="117"/>
    </row>
    <row r="48" spans="2:14">
      <c r="J48" s="117"/>
    </row>
    <row r="49" spans="10:10">
      <c r="J49" s="117"/>
    </row>
    <row r="50" spans="10:10" ht="40.5" customHeight="1">
      <c r="J50" s="117"/>
    </row>
    <row r="51" spans="10:10">
      <c r="J51" s="117"/>
    </row>
    <row r="52" spans="10:10">
      <c r="J52" s="117"/>
    </row>
    <row r="53" spans="10:10" ht="43.5" customHeight="1">
      <c r="J53" s="117"/>
    </row>
    <row r="54" spans="10:10">
      <c r="J54" s="117"/>
    </row>
    <row r="55" spans="10:10">
      <c r="J55" s="117"/>
    </row>
    <row r="56" spans="10:10" ht="45.6" customHeight="1">
      <c r="J56" s="117"/>
    </row>
    <row r="57" spans="10:10" ht="33.6" customHeight="1">
      <c r="J57" s="117"/>
    </row>
    <row r="58" spans="10:10">
      <c r="J58" s="117"/>
    </row>
    <row r="59" spans="10:10">
      <c r="J59" s="117"/>
    </row>
    <row r="60" spans="10:10">
      <c r="J60" s="117"/>
    </row>
    <row r="61" spans="10:10">
      <c r="J61" s="117"/>
    </row>
    <row r="62" spans="10:10">
      <c r="J62" s="117"/>
    </row>
    <row r="63" spans="10:10">
      <c r="J63" s="117"/>
    </row>
    <row r="64" spans="10:10" ht="40.5" customHeight="1">
      <c r="J64" s="117"/>
    </row>
    <row r="65" spans="10:10" ht="30" customHeight="1">
      <c r="J65" s="117"/>
    </row>
    <row r="66" spans="10:10" ht="34.5" customHeight="1">
      <c r="J66" s="117"/>
    </row>
    <row r="67" spans="10:10">
      <c r="J67" s="117"/>
    </row>
    <row r="68" spans="10:10">
      <c r="J68" s="117"/>
    </row>
    <row r="69" spans="10:10" ht="42.6" customHeight="1">
      <c r="J69" s="117"/>
    </row>
    <row r="70" spans="10:10" ht="45" customHeight="1">
      <c r="J70" s="117"/>
    </row>
    <row r="71" spans="10:10">
      <c r="J71" s="117"/>
    </row>
    <row r="72" spans="10:10">
      <c r="J72" s="117"/>
    </row>
    <row r="73" spans="10:10">
      <c r="J73" s="117"/>
    </row>
    <row r="74" spans="10:10">
      <c r="J74" s="117"/>
    </row>
    <row r="75" spans="10:10">
      <c r="J75" s="117"/>
    </row>
    <row r="76" spans="10:10">
      <c r="J76" s="117"/>
    </row>
    <row r="77" spans="10:10">
      <c r="J77" s="117"/>
    </row>
    <row r="78" spans="10:10" ht="44.45" customHeight="1">
      <c r="J78" s="117"/>
    </row>
    <row r="79" spans="10:10" ht="44.1" customHeight="1">
      <c r="J79" s="117"/>
    </row>
    <row r="80" spans="10:10">
      <c r="J80" s="118"/>
    </row>
    <row r="81" spans="10:10">
      <c r="J81" s="119"/>
    </row>
  </sheetData>
  <sortState xmlns:xlrd2="http://schemas.microsoft.com/office/spreadsheetml/2017/richdata2" ref="B4:I38">
    <sortCondition descending="1" ref="G3:G38"/>
  </sortState>
  <mergeCells count="4">
    <mergeCell ref="B1:B2"/>
    <mergeCell ref="C1:G1"/>
    <mergeCell ref="H1:H2"/>
    <mergeCell ref="I1:I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988"/>
  <sheetViews>
    <sheetView workbookViewId="0">
      <selection activeCell="L44" sqref="L44"/>
    </sheetView>
  </sheetViews>
  <sheetFormatPr defaultColWidth="12.7109375" defaultRowHeight="15" customHeight="1"/>
  <cols>
    <col min="1" max="1" width="24.28515625" customWidth="1"/>
    <col min="2" max="2" width="15" hidden="1" customWidth="1"/>
    <col min="3" max="3" width="14" hidden="1" customWidth="1"/>
    <col min="4" max="4" width="11.28515625" hidden="1" customWidth="1"/>
    <col min="5" max="5" width="12.7109375" hidden="1" customWidth="1"/>
    <col min="6" max="6" width="13.7109375" hidden="1" customWidth="1"/>
    <col min="7" max="7" width="12.140625" hidden="1" customWidth="1"/>
    <col min="8" max="8" width="11.7109375" customWidth="1"/>
    <col min="9" max="13" width="8.7109375" customWidth="1"/>
    <col min="14" max="14" width="12.28515625" customWidth="1"/>
    <col min="15" max="15" width="8.7109375" customWidth="1"/>
    <col min="16" max="16" width="10.7109375" customWidth="1"/>
    <col min="17" max="21" width="8.7109375" customWidth="1"/>
    <col min="22" max="22" width="12.7109375" customWidth="1"/>
    <col min="23" max="23" width="12.140625" customWidth="1"/>
    <col min="24" max="24" width="8.7109375" customWidth="1"/>
    <col min="25" max="25" width="12.140625" customWidth="1"/>
    <col min="26" max="26" width="11.28515625" customWidth="1"/>
    <col min="27" max="27" width="8.7109375" customWidth="1"/>
    <col min="28" max="28" width="10" customWidth="1"/>
    <col min="29" max="32" width="8.7109375" customWidth="1"/>
  </cols>
  <sheetData>
    <row r="1" spans="1:32">
      <c r="A1" s="100" t="s">
        <v>32</v>
      </c>
    </row>
    <row r="2" spans="1:32" ht="15" customHeight="1">
      <c r="A2" s="10"/>
      <c r="B2" s="10"/>
      <c r="C2" s="87" t="s">
        <v>33</v>
      </c>
      <c r="D2" s="86"/>
      <c r="E2" s="88" t="s">
        <v>34</v>
      </c>
      <c r="F2" s="86"/>
      <c r="G2" s="86"/>
      <c r="H2" s="89" t="s">
        <v>35</v>
      </c>
      <c r="I2" s="86"/>
      <c r="J2" s="86"/>
      <c r="K2" s="86"/>
      <c r="L2" s="86"/>
      <c r="M2" s="86"/>
      <c r="N2" s="90" t="s">
        <v>36</v>
      </c>
      <c r="O2" s="86"/>
      <c r="P2" s="86"/>
      <c r="Q2" s="86"/>
      <c r="R2" s="86"/>
      <c r="S2" s="91" t="s">
        <v>37</v>
      </c>
      <c r="T2" s="86"/>
      <c r="U2" s="86"/>
      <c r="V2" s="86"/>
      <c r="W2" s="92" t="s">
        <v>38</v>
      </c>
      <c r="X2" s="86"/>
      <c r="Y2" s="86"/>
      <c r="Z2" s="86"/>
      <c r="AA2" s="86"/>
      <c r="AB2" s="86"/>
      <c r="AC2" s="86"/>
      <c r="AD2" s="85" t="s">
        <v>39</v>
      </c>
      <c r="AE2" s="57"/>
      <c r="AF2" s="57"/>
    </row>
    <row r="3" spans="1:32" ht="75">
      <c r="A3" s="10" t="s">
        <v>9</v>
      </c>
      <c r="B3" s="10" t="s">
        <v>40</v>
      </c>
      <c r="C3" s="10" t="s">
        <v>41</v>
      </c>
      <c r="D3" s="10" t="s">
        <v>42</v>
      </c>
      <c r="E3" s="11" t="s">
        <v>43</v>
      </c>
      <c r="F3" s="11" t="s">
        <v>44</v>
      </c>
      <c r="G3" s="11" t="s">
        <v>45</v>
      </c>
      <c r="H3" s="12" t="s">
        <v>73</v>
      </c>
      <c r="I3" s="12" t="s">
        <v>74</v>
      </c>
      <c r="J3" s="12" t="s">
        <v>75</v>
      </c>
      <c r="K3" s="12" t="s">
        <v>76</v>
      </c>
      <c r="L3" s="12" t="s">
        <v>77</v>
      </c>
      <c r="M3" s="13" t="s">
        <v>46</v>
      </c>
      <c r="N3" s="14" t="s">
        <v>78</v>
      </c>
      <c r="O3" s="14" t="s">
        <v>79</v>
      </c>
      <c r="P3" s="14" t="s">
        <v>80</v>
      </c>
      <c r="Q3" s="14" t="s">
        <v>81</v>
      </c>
      <c r="R3" s="15" t="s">
        <v>47</v>
      </c>
      <c r="S3" s="16" t="s">
        <v>82</v>
      </c>
      <c r="T3" s="16" t="s">
        <v>83</v>
      </c>
      <c r="U3" s="16" t="s">
        <v>84</v>
      </c>
      <c r="V3" s="17" t="s">
        <v>48</v>
      </c>
      <c r="W3" s="18" t="s">
        <v>85</v>
      </c>
      <c r="X3" s="18" t="s">
        <v>86</v>
      </c>
      <c r="Y3" s="18" t="s">
        <v>87</v>
      </c>
      <c r="Z3" s="18" t="s">
        <v>88</v>
      </c>
      <c r="AA3" s="18" t="s">
        <v>89</v>
      </c>
      <c r="AB3" s="18" t="s">
        <v>90</v>
      </c>
      <c r="AC3" s="101" t="s">
        <v>49</v>
      </c>
      <c r="AD3" s="86"/>
      <c r="AE3" s="57"/>
      <c r="AF3" s="58"/>
    </row>
    <row r="4" spans="1:32">
      <c r="A4" s="19" t="s">
        <v>10</v>
      </c>
      <c r="B4" s="102" t="s">
        <v>0</v>
      </c>
      <c r="C4" s="102" t="s">
        <v>2</v>
      </c>
      <c r="D4" s="102" t="s">
        <v>4</v>
      </c>
      <c r="E4" s="19" t="s">
        <v>5</v>
      </c>
      <c r="F4" s="19" t="s">
        <v>7</v>
      </c>
      <c r="G4" s="19" t="s">
        <v>8</v>
      </c>
      <c r="H4" s="20">
        <v>4</v>
      </c>
      <c r="I4" s="21">
        <v>4</v>
      </c>
      <c r="J4" s="20">
        <v>3</v>
      </c>
      <c r="K4" s="20">
        <v>3</v>
      </c>
      <c r="L4" s="20">
        <v>4</v>
      </c>
      <c r="M4" s="23">
        <f t="shared" ref="M4:M39" si="0">AVERAGE(H4:K4)</f>
        <v>3.5</v>
      </c>
      <c r="N4" s="19">
        <v>5</v>
      </c>
      <c r="O4" s="22">
        <v>5</v>
      </c>
      <c r="P4" s="19">
        <v>5</v>
      </c>
      <c r="Q4" s="22">
        <v>5</v>
      </c>
      <c r="R4" s="23">
        <f t="shared" ref="R4:R39" si="1">AVERAGE(N4:Q4)</f>
        <v>5</v>
      </c>
      <c r="S4" s="19">
        <v>5</v>
      </c>
      <c r="T4" s="19">
        <v>5</v>
      </c>
      <c r="U4" s="22">
        <v>5</v>
      </c>
      <c r="V4" s="23">
        <f t="shared" ref="V4:V39" si="2">AVERAGE(S4:U4)</f>
        <v>5</v>
      </c>
      <c r="W4" s="19">
        <v>4</v>
      </c>
      <c r="X4" s="22">
        <v>5</v>
      </c>
      <c r="Y4" s="19">
        <v>5</v>
      </c>
      <c r="Z4" s="19">
        <v>4</v>
      </c>
      <c r="AA4" s="19">
        <v>5</v>
      </c>
      <c r="AB4" s="19">
        <v>3</v>
      </c>
      <c r="AC4" s="23">
        <f t="shared" ref="AC4:AC39" si="3">AVERAGE(W4:AB4)</f>
        <v>4.333333333333333</v>
      </c>
      <c r="AD4" s="23">
        <f t="shared" ref="AD4:AD39" si="4">AVERAGE(AC4,V4,R4,M4)</f>
        <v>4.458333333333333</v>
      </c>
      <c r="AE4" s="54"/>
      <c r="AF4" s="54"/>
    </row>
    <row r="5" spans="1:32">
      <c r="A5" s="19" t="s">
        <v>11</v>
      </c>
      <c r="B5" s="19" t="s">
        <v>3</v>
      </c>
      <c r="C5" s="19" t="s">
        <v>4</v>
      </c>
      <c r="D5" s="102" t="s">
        <v>1</v>
      </c>
      <c r="E5" s="19" t="s">
        <v>5</v>
      </c>
      <c r="F5" s="19" t="s">
        <v>7</v>
      </c>
      <c r="G5" s="19" t="s">
        <v>8</v>
      </c>
      <c r="H5" s="21">
        <v>3</v>
      </c>
      <c r="I5" s="20">
        <v>4</v>
      </c>
      <c r="J5" s="21">
        <v>3</v>
      </c>
      <c r="K5" s="20">
        <v>3</v>
      </c>
      <c r="L5" s="21">
        <v>4</v>
      </c>
      <c r="M5" s="23">
        <f t="shared" si="0"/>
        <v>3.25</v>
      </c>
      <c r="N5" s="19">
        <v>5</v>
      </c>
      <c r="O5" s="19">
        <v>4</v>
      </c>
      <c r="P5" s="19">
        <v>5</v>
      </c>
      <c r="Q5" s="22">
        <v>4</v>
      </c>
      <c r="R5" s="23">
        <f t="shared" si="1"/>
        <v>4.5</v>
      </c>
      <c r="S5" s="19">
        <v>5</v>
      </c>
      <c r="T5" s="22">
        <v>4</v>
      </c>
      <c r="U5" s="19">
        <v>4</v>
      </c>
      <c r="V5" s="23">
        <f t="shared" si="2"/>
        <v>4.333333333333333</v>
      </c>
      <c r="W5" s="22">
        <v>5</v>
      </c>
      <c r="X5" s="22">
        <v>5</v>
      </c>
      <c r="Y5" s="22">
        <v>4</v>
      </c>
      <c r="Z5" s="22">
        <v>4</v>
      </c>
      <c r="AA5" s="19">
        <v>5</v>
      </c>
      <c r="AB5" s="19">
        <v>2</v>
      </c>
      <c r="AC5" s="23">
        <f t="shared" si="3"/>
        <v>4.166666666666667</v>
      </c>
      <c r="AD5" s="23">
        <f t="shared" si="4"/>
        <v>4.0625</v>
      </c>
      <c r="AE5" s="54"/>
      <c r="AF5" s="54"/>
    </row>
    <row r="6" spans="1:32">
      <c r="A6" s="19" t="s">
        <v>12</v>
      </c>
      <c r="B6" s="102" t="s">
        <v>4</v>
      </c>
      <c r="C6" s="19"/>
      <c r="D6" s="19"/>
      <c r="E6" s="102" t="s">
        <v>5</v>
      </c>
      <c r="F6" s="19" t="s">
        <v>8</v>
      </c>
      <c r="G6" s="19"/>
      <c r="H6" s="20">
        <v>1</v>
      </c>
      <c r="I6" s="21">
        <v>2</v>
      </c>
      <c r="J6" s="20">
        <v>2</v>
      </c>
      <c r="K6" s="21">
        <v>2</v>
      </c>
      <c r="L6" s="20">
        <v>3</v>
      </c>
      <c r="M6" s="23">
        <f t="shared" si="0"/>
        <v>1.75</v>
      </c>
      <c r="N6" s="22">
        <v>5</v>
      </c>
      <c r="O6" s="22">
        <v>5</v>
      </c>
      <c r="P6" s="19">
        <v>4</v>
      </c>
      <c r="Q6" s="19">
        <v>5</v>
      </c>
      <c r="R6" s="23">
        <f t="shared" si="1"/>
        <v>4.75</v>
      </c>
      <c r="S6" s="22">
        <v>3</v>
      </c>
      <c r="T6" s="22">
        <v>4</v>
      </c>
      <c r="U6" s="19">
        <v>3</v>
      </c>
      <c r="V6" s="23">
        <f t="shared" si="2"/>
        <v>3.3333333333333335</v>
      </c>
      <c r="W6" s="19">
        <v>4</v>
      </c>
      <c r="X6" s="22">
        <v>3</v>
      </c>
      <c r="Y6" s="19">
        <v>5</v>
      </c>
      <c r="Z6" s="19">
        <v>4</v>
      </c>
      <c r="AA6" s="19">
        <v>3</v>
      </c>
      <c r="AB6" s="19">
        <v>2</v>
      </c>
      <c r="AC6" s="23">
        <f t="shared" si="3"/>
        <v>3.5</v>
      </c>
      <c r="AD6" s="23">
        <f t="shared" si="4"/>
        <v>3.3333333333333335</v>
      </c>
      <c r="AE6" s="54"/>
      <c r="AF6" s="54"/>
    </row>
    <row r="7" spans="1:32">
      <c r="A7" s="19" t="s">
        <v>13</v>
      </c>
      <c r="B7" s="102" t="s">
        <v>0</v>
      </c>
      <c r="C7" s="102" t="s">
        <v>1</v>
      </c>
      <c r="D7" s="19"/>
      <c r="E7" s="102" t="s">
        <v>6</v>
      </c>
      <c r="F7" s="102" t="s">
        <v>8</v>
      </c>
      <c r="G7" s="19"/>
      <c r="H7" s="20">
        <v>5</v>
      </c>
      <c r="I7" s="20">
        <v>5</v>
      </c>
      <c r="J7" s="20">
        <v>5</v>
      </c>
      <c r="K7" s="20">
        <v>5</v>
      </c>
      <c r="L7" s="20">
        <v>5</v>
      </c>
      <c r="M7" s="23">
        <f t="shared" si="0"/>
        <v>5</v>
      </c>
      <c r="N7" s="19">
        <v>5</v>
      </c>
      <c r="O7" s="19">
        <v>3</v>
      </c>
      <c r="P7" s="19">
        <v>5</v>
      </c>
      <c r="Q7" s="19">
        <v>4</v>
      </c>
      <c r="R7" s="23">
        <f t="shared" si="1"/>
        <v>4.25</v>
      </c>
      <c r="S7" s="19">
        <v>5</v>
      </c>
      <c r="T7" s="19">
        <v>5</v>
      </c>
      <c r="U7" s="19">
        <v>5</v>
      </c>
      <c r="V7" s="23">
        <f t="shared" si="2"/>
        <v>5</v>
      </c>
      <c r="W7" s="19">
        <v>5</v>
      </c>
      <c r="X7" s="19">
        <v>5</v>
      </c>
      <c r="Y7" s="19">
        <v>5</v>
      </c>
      <c r="Z7" s="19">
        <v>4</v>
      </c>
      <c r="AA7" s="19">
        <v>5</v>
      </c>
      <c r="AB7" s="19">
        <v>3</v>
      </c>
      <c r="AC7" s="23">
        <f t="shared" si="3"/>
        <v>4.5</v>
      </c>
      <c r="AD7" s="23">
        <f t="shared" si="4"/>
        <v>4.6875</v>
      </c>
      <c r="AE7" s="54"/>
      <c r="AF7" s="54"/>
    </row>
    <row r="8" spans="1:32">
      <c r="A8" s="19" t="s">
        <v>14</v>
      </c>
      <c r="B8" s="19" t="s">
        <v>4</v>
      </c>
      <c r="C8" s="19"/>
      <c r="D8" s="19"/>
      <c r="E8" s="102" t="s">
        <v>8</v>
      </c>
      <c r="F8" s="19"/>
      <c r="G8" s="19"/>
      <c r="H8" s="20">
        <v>1</v>
      </c>
      <c r="I8" s="20">
        <v>1</v>
      </c>
      <c r="J8" s="20">
        <v>2</v>
      </c>
      <c r="K8" s="20">
        <v>2</v>
      </c>
      <c r="L8" s="20">
        <v>2</v>
      </c>
      <c r="M8" s="23">
        <f t="shared" si="0"/>
        <v>1.5</v>
      </c>
      <c r="N8" s="19">
        <v>4</v>
      </c>
      <c r="O8" s="19">
        <v>1</v>
      </c>
      <c r="P8" s="19">
        <v>4</v>
      </c>
      <c r="Q8" s="22">
        <v>4</v>
      </c>
      <c r="R8" s="23">
        <f t="shared" si="1"/>
        <v>3.25</v>
      </c>
      <c r="S8" s="19">
        <v>3</v>
      </c>
      <c r="T8" s="22">
        <v>2</v>
      </c>
      <c r="U8" s="19">
        <v>2</v>
      </c>
      <c r="V8" s="23">
        <f t="shared" si="2"/>
        <v>2.3333333333333335</v>
      </c>
      <c r="W8" s="19">
        <v>4</v>
      </c>
      <c r="X8" s="22">
        <v>1</v>
      </c>
      <c r="Y8" s="19" t="s">
        <v>19</v>
      </c>
      <c r="Z8" s="19" t="s">
        <v>19</v>
      </c>
      <c r="AA8" s="19">
        <v>4</v>
      </c>
      <c r="AB8" s="22">
        <v>1</v>
      </c>
      <c r="AC8" s="23">
        <f t="shared" si="3"/>
        <v>2.5</v>
      </c>
      <c r="AD8" s="23">
        <f t="shared" si="4"/>
        <v>2.3958333333333335</v>
      </c>
      <c r="AE8" s="54"/>
      <c r="AF8" s="54"/>
    </row>
    <row r="9" spans="1:32">
      <c r="A9" s="19" t="s">
        <v>15</v>
      </c>
      <c r="B9" s="19"/>
      <c r="C9" s="19"/>
      <c r="D9" s="19"/>
      <c r="E9" s="19"/>
      <c r="F9" s="19"/>
      <c r="G9" s="19"/>
      <c r="H9" s="21">
        <v>1</v>
      </c>
      <c r="I9" s="21">
        <v>1</v>
      </c>
      <c r="J9" s="21">
        <v>2</v>
      </c>
      <c r="K9" s="21">
        <v>2</v>
      </c>
      <c r="L9" s="21">
        <v>2</v>
      </c>
      <c r="M9" s="23">
        <f t="shared" si="0"/>
        <v>1.5</v>
      </c>
      <c r="N9" s="22">
        <v>2</v>
      </c>
      <c r="O9" s="22">
        <v>1</v>
      </c>
      <c r="P9" s="22">
        <v>4</v>
      </c>
      <c r="Q9" s="22">
        <v>4</v>
      </c>
      <c r="R9" s="23">
        <f t="shared" si="1"/>
        <v>2.75</v>
      </c>
      <c r="S9" s="22">
        <v>3</v>
      </c>
      <c r="T9" s="22">
        <v>2</v>
      </c>
      <c r="U9" s="22">
        <v>2</v>
      </c>
      <c r="V9" s="23">
        <f t="shared" si="2"/>
        <v>2.3333333333333335</v>
      </c>
      <c r="W9" s="22">
        <v>4</v>
      </c>
      <c r="X9" s="22">
        <v>1</v>
      </c>
      <c r="Y9" s="19" t="s">
        <v>19</v>
      </c>
      <c r="Z9" s="19" t="s">
        <v>19</v>
      </c>
      <c r="AA9" s="22">
        <v>4</v>
      </c>
      <c r="AB9" s="22">
        <v>1</v>
      </c>
      <c r="AC9" s="23">
        <f t="shared" si="3"/>
        <v>2.5</v>
      </c>
      <c r="AD9" s="23">
        <f t="shared" si="4"/>
        <v>2.2708333333333335</v>
      </c>
      <c r="AE9" s="54"/>
      <c r="AF9" s="54"/>
    </row>
    <row r="10" spans="1:32">
      <c r="A10" s="19" t="s">
        <v>16</v>
      </c>
      <c r="B10" s="19"/>
      <c r="C10" s="19"/>
      <c r="D10" s="19"/>
      <c r="E10" s="19"/>
      <c r="F10" s="19"/>
      <c r="G10" s="19"/>
      <c r="H10" s="21">
        <v>1</v>
      </c>
      <c r="I10" s="21">
        <v>1</v>
      </c>
      <c r="J10" s="21">
        <v>2</v>
      </c>
      <c r="K10" s="21">
        <v>2</v>
      </c>
      <c r="L10" s="21">
        <v>2</v>
      </c>
      <c r="M10" s="23">
        <f t="shared" si="0"/>
        <v>1.5</v>
      </c>
      <c r="N10" s="22">
        <v>2</v>
      </c>
      <c r="O10" s="22">
        <v>1</v>
      </c>
      <c r="P10" s="22">
        <v>4</v>
      </c>
      <c r="Q10" s="22">
        <v>4</v>
      </c>
      <c r="R10" s="23">
        <f t="shared" si="1"/>
        <v>2.75</v>
      </c>
      <c r="S10" s="22">
        <v>3</v>
      </c>
      <c r="T10" s="22">
        <v>2</v>
      </c>
      <c r="U10" s="22">
        <v>2</v>
      </c>
      <c r="V10" s="23">
        <f t="shared" si="2"/>
        <v>2.3333333333333335</v>
      </c>
      <c r="W10" s="22">
        <v>4</v>
      </c>
      <c r="X10" s="22">
        <v>1</v>
      </c>
      <c r="Y10" s="19" t="s">
        <v>19</v>
      </c>
      <c r="Z10" s="19" t="s">
        <v>19</v>
      </c>
      <c r="AA10" s="22">
        <v>4</v>
      </c>
      <c r="AB10" s="22">
        <v>1</v>
      </c>
      <c r="AC10" s="23">
        <f t="shared" si="3"/>
        <v>2.5</v>
      </c>
      <c r="AD10" s="23">
        <f t="shared" si="4"/>
        <v>2.2708333333333335</v>
      </c>
      <c r="AE10" s="55"/>
      <c r="AF10" s="8"/>
    </row>
    <row r="11" spans="1:32">
      <c r="A11" s="19" t="s">
        <v>17</v>
      </c>
      <c r="B11" s="19"/>
      <c r="C11" s="19"/>
      <c r="D11" s="19"/>
      <c r="E11" s="19"/>
      <c r="F11" s="19"/>
      <c r="G11" s="19"/>
      <c r="H11" s="21">
        <v>4</v>
      </c>
      <c r="I11" s="21">
        <v>4</v>
      </c>
      <c r="J11" s="21">
        <v>3</v>
      </c>
      <c r="K11" s="21">
        <v>4</v>
      </c>
      <c r="L11" s="21">
        <v>3</v>
      </c>
      <c r="M11" s="23">
        <f t="shared" si="0"/>
        <v>3.75</v>
      </c>
      <c r="N11" s="22">
        <v>2</v>
      </c>
      <c r="O11" s="22">
        <v>4</v>
      </c>
      <c r="P11" s="22">
        <v>4</v>
      </c>
      <c r="Q11" s="22">
        <v>5</v>
      </c>
      <c r="R11" s="23">
        <f t="shared" si="1"/>
        <v>3.75</v>
      </c>
      <c r="S11" s="22">
        <v>4</v>
      </c>
      <c r="T11" s="22">
        <v>5</v>
      </c>
      <c r="U11" s="22">
        <v>4</v>
      </c>
      <c r="V11" s="23">
        <f t="shared" si="2"/>
        <v>4.333333333333333</v>
      </c>
      <c r="W11" s="22">
        <v>5</v>
      </c>
      <c r="X11" s="22">
        <v>5</v>
      </c>
      <c r="Y11" s="22">
        <v>5</v>
      </c>
      <c r="Z11" s="22">
        <v>5</v>
      </c>
      <c r="AA11" s="22">
        <v>5</v>
      </c>
      <c r="AB11" s="22">
        <v>4</v>
      </c>
      <c r="AC11" s="23">
        <f t="shared" si="3"/>
        <v>4.833333333333333</v>
      </c>
      <c r="AD11" s="23">
        <f t="shared" si="4"/>
        <v>4.1666666666666661</v>
      </c>
      <c r="AE11" s="55"/>
      <c r="AF11" s="8"/>
    </row>
    <row r="12" spans="1:32">
      <c r="A12" s="19" t="s">
        <v>18</v>
      </c>
      <c r="B12" s="19"/>
      <c r="C12" s="19"/>
      <c r="D12" s="19"/>
      <c r="E12" s="19"/>
      <c r="F12" s="19"/>
      <c r="G12" s="19"/>
      <c r="H12" s="21">
        <v>1</v>
      </c>
      <c r="I12" s="21">
        <v>1</v>
      </c>
      <c r="J12" s="21">
        <v>2</v>
      </c>
      <c r="K12" s="21">
        <v>1</v>
      </c>
      <c r="L12" s="21">
        <v>2</v>
      </c>
      <c r="M12" s="23">
        <f t="shared" si="0"/>
        <v>1.25</v>
      </c>
      <c r="N12" s="22">
        <v>1</v>
      </c>
      <c r="O12" s="22">
        <v>5</v>
      </c>
      <c r="P12" s="22">
        <v>5</v>
      </c>
      <c r="Q12" s="22">
        <v>5</v>
      </c>
      <c r="R12" s="23">
        <f t="shared" si="1"/>
        <v>4</v>
      </c>
      <c r="S12" s="22">
        <v>4</v>
      </c>
      <c r="T12" s="22">
        <v>3</v>
      </c>
      <c r="U12" s="22">
        <v>4</v>
      </c>
      <c r="V12" s="23">
        <f t="shared" si="2"/>
        <v>3.6666666666666665</v>
      </c>
      <c r="W12" s="22">
        <v>5</v>
      </c>
      <c r="X12" s="22" t="s">
        <v>19</v>
      </c>
      <c r="Y12" s="22">
        <v>4</v>
      </c>
      <c r="Z12" s="22">
        <v>4</v>
      </c>
      <c r="AA12" s="22">
        <v>3</v>
      </c>
      <c r="AB12" s="22">
        <v>2</v>
      </c>
      <c r="AC12" s="23">
        <f t="shared" si="3"/>
        <v>3.6</v>
      </c>
      <c r="AD12" s="23">
        <f t="shared" si="4"/>
        <v>3.1291666666666664</v>
      </c>
      <c r="AE12" s="55"/>
      <c r="AF12" s="8"/>
    </row>
    <row r="13" spans="1:32">
      <c r="A13" s="19" t="s">
        <v>20</v>
      </c>
      <c r="B13" s="19"/>
      <c r="C13" s="19"/>
      <c r="D13" s="19"/>
      <c r="E13" s="19"/>
      <c r="F13" s="19"/>
      <c r="G13" s="19"/>
      <c r="H13" s="21">
        <v>3</v>
      </c>
      <c r="I13" s="21">
        <v>3</v>
      </c>
      <c r="J13" s="21">
        <v>5</v>
      </c>
      <c r="K13" s="21">
        <v>3</v>
      </c>
      <c r="L13" s="21">
        <v>3</v>
      </c>
      <c r="M13" s="23">
        <f t="shared" si="0"/>
        <v>3.5</v>
      </c>
      <c r="N13" s="22">
        <v>5</v>
      </c>
      <c r="O13" s="22">
        <v>5</v>
      </c>
      <c r="P13" s="22">
        <v>5</v>
      </c>
      <c r="Q13" s="22">
        <v>5</v>
      </c>
      <c r="R13" s="23">
        <f t="shared" si="1"/>
        <v>5</v>
      </c>
      <c r="S13" s="22">
        <v>5</v>
      </c>
      <c r="T13" s="22">
        <v>3</v>
      </c>
      <c r="U13" s="22">
        <v>3</v>
      </c>
      <c r="V13" s="23">
        <f t="shared" si="2"/>
        <v>3.6666666666666665</v>
      </c>
      <c r="W13" s="22">
        <v>5</v>
      </c>
      <c r="X13" s="22">
        <v>5</v>
      </c>
      <c r="Y13" s="22">
        <v>4</v>
      </c>
      <c r="Z13" s="22">
        <v>4</v>
      </c>
      <c r="AA13" s="22">
        <v>4</v>
      </c>
      <c r="AB13" s="22">
        <v>2</v>
      </c>
      <c r="AC13" s="23">
        <f t="shared" si="3"/>
        <v>4</v>
      </c>
      <c r="AD13" s="23">
        <f t="shared" si="4"/>
        <v>4.0416666666666661</v>
      </c>
      <c r="AE13" s="55"/>
      <c r="AF13" s="8"/>
    </row>
    <row r="14" spans="1:32">
      <c r="A14" s="19" t="s">
        <v>21</v>
      </c>
      <c r="B14" s="19"/>
      <c r="C14" s="19"/>
      <c r="D14" s="19"/>
      <c r="E14" s="19"/>
      <c r="F14" s="19"/>
      <c r="G14" s="19"/>
      <c r="H14" s="21">
        <v>4</v>
      </c>
      <c r="I14" s="21">
        <v>4</v>
      </c>
      <c r="J14" s="21">
        <v>1</v>
      </c>
      <c r="K14" s="21">
        <v>1</v>
      </c>
      <c r="L14" s="21">
        <v>3</v>
      </c>
      <c r="M14" s="23">
        <f t="shared" si="0"/>
        <v>2.5</v>
      </c>
      <c r="N14" s="22">
        <v>2</v>
      </c>
      <c r="O14" s="22">
        <v>5</v>
      </c>
      <c r="P14" s="22">
        <v>5</v>
      </c>
      <c r="Q14" s="22">
        <v>5</v>
      </c>
      <c r="R14" s="23">
        <f t="shared" si="1"/>
        <v>4.25</v>
      </c>
      <c r="S14" s="22">
        <v>5</v>
      </c>
      <c r="T14" s="22">
        <v>4</v>
      </c>
      <c r="U14" s="22">
        <v>4</v>
      </c>
      <c r="V14" s="23">
        <f t="shared" si="2"/>
        <v>4.333333333333333</v>
      </c>
      <c r="W14" s="22">
        <v>4</v>
      </c>
      <c r="X14" s="22" t="s">
        <v>19</v>
      </c>
      <c r="Y14" s="22">
        <v>5</v>
      </c>
      <c r="Z14" s="22">
        <v>4</v>
      </c>
      <c r="AA14" s="22">
        <v>4</v>
      </c>
      <c r="AB14" s="22">
        <v>2</v>
      </c>
      <c r="AC14" s="23">
        <f t="shared" si="3"/>
        <v>3.8</v>
      </c>
      <c r="AD14" s="23">
        <f t="shared" si="4"/>
        <v>3.7208333333333332</v>
      </c>
      <c r="AE14" s="55"/>
      <c r="AF14" s="8"/>
    </row>
    <row r="15" spans="1:32">
      <c r="A15" s="19" t="s">
        <v>22</v>
      </c>
      <c r="B15" s="19"/>
      <c r="C15" s="19"/>
      <c r="D15" s="19"/>
      <c r="E15" s="19"/>
      <c r="F15" s="19"/>
      <c r="G15" s="19"/>
      <c r="H15" s="21">
        <v>4</v>
      </c>
      <c r="I15" s="21">
        <v>4</v>
      </c>
      <c r="J15" s="21">
        <v>1</v>
      </c>
      <c r="K15" s="21">
        <v>2</v>
      </c>
      <c r="L15" s="21">
        <v>3</v>
      </c>
      <c r="M15" s="23">
        <f t="shared" si="0"/>
        <v>2.75</v>
      </c>
      <c r="N15" s="22">
        <v>5</v>
      </c>
      <c r="O15" s="22">
        <v>5</v>
      </c>
      <c r="P15" s="22">
        <v>5</v>
      </c>
      <c r="Q15" s="22">
        <v>5</v>
      </c>
      <c r="R15" s="23">
        <f t="shared" si="1"/>
        <v>5</v>
      </c>
      <c r="S15" s="22">
        <v>4</v>
      </c>
      <c r="T15" s="22">
        <v>4</v>
      </c>
      <c r="U15" s="22">
        <v>4</v>
      </c>
      <c r="V15" s="23">
        <f t="shared" si="2"/>
        <v>4</v>
      </c>
      <c r="W15" s="22">
        <v>4</v>
      </c>
      <c r="X15" s="22" t="s">
        <v>19</v>
      </c>
      <c r="Y15" s="22">
        <v>5</v>
      </c>
      <c r="Z15" s="22">
        <v>5</v>
      </c>
      <c r="AA15" s="22">
        <v>5</v>
      </c>
      <c r="AB15" s="22">
        <v>2</v>
      </c>
      <c r="AC15" s="23">
        <f t="shared" si="3"/>
        <v>4.2</v>
      </c>
      <c r="AD15" s="23">
        <f t="shared" si="4"/>
        <v>3.9874999999999998</v>
      </c>
      <c r="AE15" s="55"/>
      <c r="AF15" s="8"/>
    </row>
    <row r="16" spans="1:32">
      <c r="A16" s="19" t="s">
        <v>23</v>
      </c>
      <c r="B16" s="19"/>
      <c r="C16" s="19"/>
      <c r="D16" s="19"/>
      <c r="E16" s="19"/>
      <c r="F16" s="19"/>
      <c r="G16" s="19"/>
      <c r="H16" s="21">
        <v>4</v>
      </c>
      <c r="I16" s="21">
        <v>4</v>
      </c>
      <c r="J16" s="21">
        <v>3</v>
      </c>
      <c r="K16" s="21">
        <v>2</v>
      </c>
      <c r="L16" s="21">
        <v>3</v>
      </c>
      <c r="M16" s="23">
        <f t="shared" si="0"/>
        <v>3.25</v>
      </c>
      <c r="N16" s="22">
        <v>5</v>
      </c>
      <c r="O16" s="22">
        <v>5</v>
      </c>
      <c r="P16" s="22">
        <v>5</v>
      </c>
      <c r="Q16" s="22">
        <v>5</v>
      </c>
      <c r="R16" s="23">
        <f t="shared" si="1"/>
        <v>5</v>
      </c>
      <c r="S16" s="22">
        <v>5</v>
      </c>
      <c r="T16" s="22">
        <v>3</v>
      </c>
      <c r="U16" s="22">
        <v>4</v>
      </c>
      <c r="V16" s="23">
        <f t="shared" si="2"/>
        <v>4</v>
      </c>
      <c r="W16" s="22">
        <v>4</v>
      </c>
      <c r="X16" s="22" t="s">
        <v>19</v>
      </c>
      <c r="Y16" s="22">
        <v>5</v>
      </c>
      <c r="Z16" s="22">
        <v>5</v>
      </c>
      <c r="AA16" s="22">
        <v>4</v>
      </c>
      <c r="AB16" s="22">
        <v>2</v>
      </c>
      <c r="AC16" s="23">
        <f t="shared" si="3"/>
        <v>4</v>
      </c>
      <c r="AD16" s="23">
        <f t="shared" si="4"/>
        <v>4.0625</v>
      </c>
      <c r="AE16" s="55"/>
      <c r="AF16" s="8"/>
    </row>
    <row r="17" spans="1:32">
      <c r="A17" s="19" t="s">
        <v>24</v>
      </c>
      <c r="B17" s="19"/>
      <c r="C17" s="19"/>
      <c r="D17" s="19"/>
      <c r="E17" s="19"/>
      <c r="F17" s="19"/>
      <c r="G17" s="19"/>
      <c r="H17" s="21">
        <v>4</v>
      </c>
      <c r="I17" s="21">
        <v>4</v>
      </c>
      <c r="J17" s="21">
        <v>3</v>
      </c>
      <c r="K17" s="21">
        <v>2</v>
      </c>
      <c r="L17" s="21">
        <v>4</v>
      </c>
      <c r="M17" s="23">
        <f t="shared" si="0"/>
        <v>3.25</v>
      </c>
      <c r="N17" s="22">
        <v>5</v>
      </c>
      <c r="O17" s="22">
        <v>5</v>
      </c>
      <c r="P17" s="22">
        <v>5</v>
      </c>
      <c r="Q17" s="22">
        <v>5</v>
      </c>
      <c r="R17" s="23">
        <f t="shared" si="1"/>
        <v>5</v>
      </c>
      <c r="S17" s="22">
        <v>5</v>
      </c>
      <c r="T17" s="22">
        <v>4</v>
      </c>
      <c r="U17" s="22">
        <v>3</v>
      </c>
      <c r="V17" s="23">
        <f t="shared" si="2"/>
        <v>4</v>
      </c>
      <c r="W17" s="22">
        <v>4</v>
      </c>
      <c r="X17" s="22" t="s">
        <v>19</v>
      </c>
      <c r="Y17" s="22">
        <v>3</v>
      </c>
      <c r="Z17" s="22">
        <v>4</v>
      </c>
      <c r="AA17" s="22">
        <v>4</v>
      </c>
      <c r="AB17" s="22">
        <v>2</v>
      </c>
      <c r="AC17" s="23">
        <f t="shared" si="3"/>
        <v>3.4</v>
      </c>
      <c r="AD17" s="23">
        <f t="shared" si="4"/>
        <v>3.9125000000000001</v>
      </c>
      <c r="AE17" s="55"/>
      <c r="AF17" s="8"/>
    </row>
    <row r="18" spans="1:32">
      <c r="A18" s="19" t="s">
        <v>31</v>
      </c>
      <c r="B18" s="19"/>
      <c r="C18" s="19"/>
      <c r="D18" s="19"/>
      <c r="E18" s="19"/>
      <c r="F18" s="19"/>
      <c r="G18" s="19"/>
      <c r="H18" s="21">
        <v>4</v>
      </c>
      <c r="I18" s="21">
        <v>4</v>
      </c>
      <c r="J18" s="21">
        <v>3</v>
      </c>
      <c r="K18" s="21">
        <v>2</v>
      </c>
      <c r="L18" s="21">
        <v>4</v>
      </c>
      <c r="M18" s="23">
        <f t="shared" si="0"/>
        <v>3.25</v>
      </c>
      <c r="N18" s="22">
        <v>5</v>
      </c>
      <c r="O18" s="22">
        <v>5</v>
      </c>
      <c r="P18" s="22">
        <v>5</v>
      </c>
      <c r="Q18" s="22">
        <v>5</v>
      </c>
      <c r="R18" s="23">
        <f t="shared" si="1"/>
        <v>5</v>
      </c>
      <c r="S18" s="22">
        <v>5</v>
      </c>
      <c r="T18" s="22">
        <v>4</v>
      </c>
      <c r="U18" s="22">
        <v>3</v>
      </c>
      <c r="V18" s="23">
        <f t="shared" si="2"/>
        <v>4</v>
      </c>
      <c r="W18" s="22">
        <v>4</v>
      </c>
      <c r="X18" s="22" t="s">
        <v>19</v>
      </c>
      <c r="Y18" s="22">
        <v>3</v>
      </c>
      <c r="Z18" s="22">
        <v>4</v>
      </c>
      <c r="AA18" s="22">
        <v>4</v>
      </c>
      <c r="AB18" s="22">
        <v>2</v>
      </c>
      <c r="AC18" s="23">
        <f t="shared" si="3"/>
        <v>3.4</v>
      </c>
      <c r="AD18" s="23">
        <f t="shared" si="4"/>
        <v>3.9125000000000001</v>
      </c>
      <c r="AE18" s="55"/>
      <c r="AF18" s="8"/>
    </row>
    <row r="19" spans="1:32">
      <c r="A19" s="19" t="s">
        <v>25</v>
      </c>
      <c r="B19" s="19"/>
      <c r="C19" s="19"/>
      <c r="D19" s="19"/>
      <c r="E19" s="19"/>
      <c r="F19" s="19"/>
      <c r="G19" s="19"/>
      <c r="H19" s="21">
        <v>4</v>
      </c>
      <c r="I19" s="21">
        <v>4</v>
      </c>
      <c r="J19" s="21">
        <v>3</v>
      </c>
      <c r="K19" s="21">
        <v>2</v>
      </c>
      <c r="L19" s="21">
        <v>5</v>
      </c>
      <c r="M19" s="23">
        <f t="shared" si="0"/>
        <v>3.25</v>
      </c>
      <c r="N19" s="22">
        <v>5</v>
      </c>
      <c r="O19" s="22">
        <v>5</v>
      </c>
      <c r="P19" s="22">
        <v>5</v>
      </c>
      <c r="Q19" s="22">
        <v>5</v>
      </c>
      <c r="R19" s="23">
        <f t="shared" si="1"/>
        <v>5</v>
      </c>
      <c r="S19" s="22">
        <v>5</v>
      </c>
      <c r="T19" s="22">
        <v>4</v>
      </c>
      <c r="U19" s="22">
        <v>3</v>
      </c>
      <c r="V19" s="23">
        <f t="shared" si="2"/>
        <v>4</v>
      </c>
      <c r="W19" s="22">
        <v>5</v>
      </c>
      <c r="X19" s="22" t="s">
        <v>19</v>
      </c>
      <c r="Y19" s="22">
        <v>5</v>
      </c>
      <c r="Z19" s="22">
        <v>5</v>
      </c>
      <c r="AA19" s="22">
        <v>4</v>
      </c>
      <c r="AB19" s="22">
        <v>2</v>
      </c>
      <c r="AC19" s="23">
        <f t="shared" si="3"/>
        <v>4.2</v>
      </c>
      <c r="AD19" s="23">
        <f t="shared" si="4"/>
        <v>4.1124999999999998</v>
      </c>
      <c r="AE19" s="55"/>
      <c r="AF19" s="8"/>
    </row>
    <row r="20" spans="1:32" ht="15.75" customHeight="1">
      <c r="A20" s="19" t="s">
        <v>26</v>
      </c>
      <c r="B20" s="19"/>
      <c r="C20" s="19"/>
      <c r="D20" s="19"/>
      <c r="E20" s="19"/>
      <c r="F20" s="19"/>
      <c r="G20" s="19"/>
      <c r="H20" s="21">
        <v>4</v>
      </c>
      <c r="I20" s="21">
        <v>5</v>
      </c>
      <c r="J20" s="21">
        <v>5</v>
      </c>
      <c r="K20" s="21">
        <v>5</v>
      </c>
      <c r="L20" s="21">
        <v>5</v>
      </c>
      <c r="M20" s="23">
        <f t="shared" si="0"/>
        <v>4.75</v>
      </c>
      <c r="N20" s="22">
        <v>5</v>
      </c>
      <c r="O20" s="22">
        <v>5</v>
      </c>
      <c r="P20" s="22">
        <v>5</v>
      </c>
      <c r="Q20" s="22">
        <v>5</v>
      </c>
      <c r="R20" s="23">
        <f t="shared" si="1"/>
        <v>5</v>
      </c>
      <c r="S20" s="22">
        <v>5</v>
      </c>
      <c r="T20" s="22">
        <v>5</v>
      </c>
      <c r="U20" s="22">
        <v>3</v>
      </c>
      <c r="V20" s="23">
        <f t="shared" si="2"/>
        <v>4.333333333333333</v>
      </c>
      <c r="W20" s="22">
        <v>5</v>
      </c>
      <c r="X20" s="22" t="s">
        <v>19</v>
      </c>
      <c r="Y20" s="22">
        <v>5</v>
      </c>
      <c r="Z20" s="22">
        <v>5</v>
      </c>
      <c r="AA20" s="22">
        <v>4</v>
      </c>
      <c r="AB20" s="22">
        <v>2</v>
      </c>
      <c r="AC20" s="23">
        <f t="shared" si="3"/>
        <v>4.2</v>
      </c>
      <c r="AD20" s="23">
        <f t="shared" si="4"/>
        <v>4.5708333333333329</v>
      </c>
      <c r="AE20" s="55"/>
      <c r="AF20" s="8"/>
    </row>
    <row r="21" spans="1:32" ht="15.75" customHeight="1">
      <c r="A21" s="19" t="s">
        <v>54</v>
      </c>
      <c r="B21" s="19"/>
      <c r="C21" s="19"/>
      <c r="D21" s="19"/>
      <c r="E21" s="19"/>
      <c r="F21" s="19"/>
      <c r="G21" s="19"/>
      <c r="H21" s="20">
        <v>3</v>
      </c>
      <c r="I21" s="20">
        <v>4</v>
      </c>
      <c r="J21" s="20">
        <v>2</v>
      </c>
      <c r="K21" s="20">
        <v>5</v>
      </c>
      <c r="L21" s="20">
        <v>5</v>
      </c>
      <c r="M21" s="23">
        <f t="shared" si="0"/>
        <v>3.5</v>
      </c>
      <c r="N21" s="19">
        <v>5</v>
      </c>
      <c r="O21" s="19">
        <v>5</v>
      </c>
      <c r="P21" s="19">
        <v>5</v>
      </c>
      <c r="Q21" s="19">
        <v>5</v>
      </c>
      <c r="R21" s="23">
        <f t="shared" si="1"/>
        <v>5</v>
      </c>
      <c r="S21" s="19">
        <v>5</v>
      </c>
      <c r="T21" s="19">
        <v>5</v>
      </c>
      <c r="U21" s="19">
        <v>4</v>
      </c>
      <c r="V21" s="23">
        <f t="shared" si="2"/>
        <v>4.666666666666667</v>
      </c>
      <c r="W21" s="19">
        <v>5</v>
      </c>
      <c r="X21" s="22" t="s">
        <v>19</v>
      </c>
      <c r="Y21" s="19">
        <v>5</v>
      </c>
      <c r="Z21" s="19">
        <v>5</v>
      </c>
      <c r="AA21" s="19">
        <v>5</v>
      </c>
      <c r="AB21" s="19">
        <v>2</v>
      </c>
      <c r="AC21" s="23">
        <f t="shared" si="3"/>
        <v>4.4000000000000004</v>
      </c>
      <c r="AD21" s="23">
        <f t="shared" si="4"/>
        <v>4.3916666666666666</v>
      </c>
      <c r="AE21" s="55"/>
      <c r="AF21" s="8"/>
    </row>
    <row r="22" spans="1:32" ht="15.75" customHeight="1">
      <c r="A22" s="19" t="s">
        <v>55</v>
      </c>
      <c r="B22" s="19"/>
      <c r="C22" s="19"/>
      <c r="D22" s="19"/>
      <c r="E22" s="19"/>
      <c r="F22" s="19"/>
      <c r="G22" s="19"/>
      <c r="H22" s="20">
        <v>5</v>
      </c>
      <c r="I22" s="20">
        <v>5</v>
      </c>
      <c r="J22" s="20">
        <v>5</v>
      </c>
      <c r="K22" s="20">
        <v>5</v>
      </c>
      <c r="L22" s="20">
        <v>5</v>
      </c>
      <c r="M22" s="23">
        <f t="shared" si="0"/>
        <v>5</v>
      </c>
      <c r="N22" s="19">
        <v>5</v>
      </c>
      <c r="O22" s="19">
        <v>5</v>
      </c>
      <c r="P22" s="19">
        <v>5</v>
      </c>
      <c r="Q22" s="19">
        <v>5</v>
      </c>
      <c r="R22" s="23">
        <f t="shared" si="1"/>
        <v>5</v>
      </c>
      <c r="S22" s="19">
        <v>5</v>
      </c>
      <c r="T22" s="19">
        <v>5</v>
      </c>
      <c r="U22" s="19">
        <v>5</v>
      </c>
      <c r="V22" s="23">
        <f t="shared" si="2"/>
        <v>5</v>
      </c>
      <c r="W22" s="19">
        <v>5</v>
      </c>
      <c r="X22" s="22">
        <v>4</v>
      </c>
      <c r="Y22" s="19">
        <v>5</v>
      </c>
      <c r="Z22" s="19">
        <v>5</v>
      </c>
      <c r="AA22" s="19">
        <v>5</v>
      </c>
      <c r="AB22" s="19">
        <v>2</v>
      </c>
      <c r="AC22" s="23">
        <f t="shared" si="3"/>
        <v>4.333333333333333</v>
      </c>
      <c r="AD22" s="23">
        <f t="shared" si="4"/>
        <v>4.833333333333333</v>
      </c>
      <c r="AE22" s="54"/>
      <c r="AF22" s="8"/>
    </row>
    <row r="23" spans="1:32" ht="15.75" customHeight="1">
      <c r="A23" s="19" t="s">
        <v>56</v>
      </c>
      <c r="B23" s="19"/>
      <c r="C23" s="19"/>
      <c r="D23" s="19"/>
      <c r="E23" s="19"/>
      <c r="F23" s="19"/>
      <c r="G23" s="19"/>
      <c r="H23" s="20">
        <v>4</v>
      </c>
      <c r="I23" s="20">
        <v>4</v>
      </c>
      <c r="J23" s="20">
        <v>4</v>
      </c>
      <c r="K23" s="20">
        <v>4</v>
      </c>
      <c r="L23" s="20">
        <v>5</v>
      </c>
      <c r="M23" s="23">
        <f t="shared" si="0"/>
        <v>4</v>
      </c>
      <c r="N23" s="19">
        <v>5</v>
      </c>
      <c r="O23" s="19">
        <v>5</v>
      </c>
      <c r="P23" s="19">
        <v>5</v>
      </c>
      <c r="Q23" s="19">
        <v>5</v>
      </c>
      <c r="R23" s="23">
        <f t="shared" si="1"/>
        <v>5</v>
      </c>
      <c r="S23" s="19">
        <v>5</v>
      </c>
      <c r="T23" s="19">
        <v>5</v>
      </c>
      <c r="U23" s="19">
        <v>5</v>
      </c>
      <c r="V23" s="23">
        <f t="shared" si="2"/>
        <v>5</v>
      </c>
      <c r="W23" s="19">
        <v>5</v>
      </c>
      <c r="X23" s="19" t="s">
        <v>19</v>
      </c>
      <c r="Y23" s="19">
        <v>5</v>
      </c>
      <c r="Z23" s="19">
        <v>5</v>
      </c>
      <c r="AA23" s="19">
        <v>5</v>
      </c>
      <c r="AB23" s="19">
        <v>2</v>
      </c>
      <c r="AC23" s="23">
        <f t="shared" si="3"/>
        <v>4.4000000000000004</v>
      </c>
      <c r="AD23" s="23">
        <f t="shared" si="4"/>
        <v>4.5999999999999996</v>
      </c>
      <c r="AE23" s="54"/>
      <c r="AF23" s="8"/>
    </row>
    <row r="24" spans="1:32" ht="15.75" customHeight="1">
      <c r="A24" s="19" t="s">
        <v>58</v>
      </c>
      <c r="B24" s="24"/>
      <c r="C24" s="24"/>
      <c r="D24" s="24"/>
      <c r="E24" s="24"/>
      <c r="F24" s="24"/>
      <c r="G24" s="24"/>
      <c r="H24" s="20">
        <v>5</v>
      </c>
      <c r="I24" s="20">
        <v>5</v>
      </c>
      <c r="J24" s="20">
        <v>4</v>
      </c>
      <c r="K24" s="20">
        <v>5</v>
      </c>
      <c r="L24" s="20">
        <v>5</v>
      </c>
      <c r="M24" s="23">
        <f t="shared" si="0"/>
        <v>4.75</v>
      </c>
      <c r="N24" s="24">
        <v>5</v>
      </c>
      <c r="O24" s="24">
        <v>5</v>
      </c>
      <c r="P24" s="24">
        <v>5</v>
      </c>
      <c r="Q24" s="24">
        <v>5</v>
      </c>
      <c r="R24" s="23">
        <f t="shared" si="1"/>
        <v>5</v>
      </c>
      <c r="S24" s="24">
        <v>5</v>
      </c>
      <c r="T24" s="24">
        <v>5</v>
      </c>
      <c r="U24" s="24">
        <v>5</v>
      </c>
      <c r="V24" s="23">
        <f t="shared" si="2"/>
        <v>5</v>
      </c>
      <c r="W24" s="24">
        <v>5</v>
      </c>
      <c r="X24" s="19" t="s">
        <v>19</v>
      </c>
      <c r="Y24" s="19">
        <v>5</v>
      </c>
      <c r="Z24" s="24">
        <v>5</v>
      </c>
      <c r="AA24" s="19">
        <v>5</v>
      </c>
      <c r="AB24" s="19">
        <v>2</v>
      </c>
      <c r="AC24" s="23">
        <f t="shared" si="3"/>
        <v>4.4000000000000004</v>
      </c>
      <c r="AD24" s="23">
        <f t="shared" si="4"/>
        <v>4.7874999999999996</v>
      </c>
      <c r="AE24" s="54"/>
      <c r="AF24" s="8"/>
    </row>
    <row r="25" spans="1:32" ht="15.75" customHeight="1">
      <c r="A25" s="19" t="s">
        <v>57</v>
      </c>
      <c r="B25" s="24"/>
      <c r="C25" s="24"/>
      <c r="D25" s="24"/>
      <c r="E25" s="24"/>
      <c r="F25" s="24"/>
      <c r="G25" s="24"/>
      <c r="H25" s="20">
        <v>5</v>
      </c>
      <c r="I25" s="20">
        <v>5</v>
      </c>
      <c r="J25" s="20">
        <v>4</v>
      </c>
      <c r="K25" s="20">
        <v>5</v>
      </c>
      <c r="L25" s="20">
        <v>5</v>
      </c>
      <c r="M25" s="23">
        <f t="shared" si="0"/>
        <v>4.75</v>
      </c>
      <c r="N25" s="24">
        <v>5</v>
      </c>
      <c r="O25" s="24">
        <v>5</v>
      </c>
      <c r="P25" s="24">
        <v>5</v>
      </c>
      <c r="Q25" s="24">
        <v>5</v>
      </c>
      <c r="R25" s="23">
        <f t="shared" si="1"/>
        <v>5</v>
      </c>
      <c r="S25" s="24">
        <v>5</v>
      </c>
      <c r="T25" s="24">
        <v>5</v>
      </c>
      <c r="U25" s="24">
        <v>5</v>
      </c>
      <c r="V25" s="23">
        <f t="shared" si="2"/>
        <v>5</v>
      </c>
      <c r="W25" s="24">
        <v>5</v>
      </c>
      <c r="X25" s="19" t="s">
        <v>19</v>
      </c>
      <c r="Y25" s="19">
        <v>5</v>
      </c>
      <c r="Z25" s="24">
        <v>5</v>
      </c>
      <c r="AA25" s="19">
        <v>5</v>
      </c>
      <c r="AB25" s="19">
        <v>2</v>
      </c>
      <c r="AC25" s="23">
        <f t="shared" si="3"/>
        <v>4.4000000000000004</v>
      </c>
      <c r="AD25" s="23">
        <f t="shared" si="4"/>
        <v>4.7874999999999996</v>
      </c>
      <c r="AE25" s="54"/>
      <c r="AF25" s="8"/>
    </row>
    <row r="26" spans="1:32" ht="15.75" customHeight="1">
      <c r="A26" s="19" t="s">
        <v>59</v>
      </c>
      <c r="B26" s="24"/>
      <c r="C26" s="24"/>
      <c r="D26" s="24"/>
      <c r="E26" s="24"/>
      <c r="F26" s="24"/>
      <c r="G26" s="24"/>
      <c r="H26" s="24">
        <v>5</v>
      </c>
      <c r="I26" s="24">
        <v>5</v>
      </c>
      <c r="J26" s="24">
        <v>5</v>
      </c>
      <c r="K26" s="24">
        <v>5</v>
      </c>
      <c r="L26" s="24">
        <v>5</v>
      </c>
      <c r="M26" s="23">
        <f t="shared" si="0"/>
        <v>5</v>
      </c>
      <c r="N26" s="24">
        <v>5</v>
      </c>
      <c r="O26" s="24">
        <v>5</v>
      </c>
      <c r="P26" s="24">
        <v>5</v>
      </c>
      <c r="Q26" s="24">
        <v>5</v>
      </c>
      <c r="R26" s="23">
        <f t="shared" si="1"/>
        <v>5</v>
      </c>
      <c r="S26" s="24">
        <v>5</v>
      </c>
      <c r="T26" s="24">
        <v>4</v>
      </c>
      <c r="U26" s="24">
        <v>5</v>
      </c>
      <c r="V26" s="23">
        <f t="shared" si="2"/>
        <v>4.666666666666667</v>
      </c>
      <c r="W26" s="24">
        <v>5</v>
      </c>
      <c r="X26" s="24" t="s">
        <v>19</v>
      </c>
      <c r="Y26" s="24">
        <v>5</v>
      </c>
      <c r="Z26" s="24">
        <v>5</v>
      </c>
      <c r="AA26" s="24">
        <v>5</v>
      </c>
      <c r="AB26" s="24">
        <v>2</v>
      </c>
      <c r="AC26" s="23">
        <f t="shared" si="3"/>
        <v>4.4000000000000004</v>
      </c>
      <c r="AD26" s="23">
        <f t="shared" si="4"/>
        <v>4.7666666666666666</v>
      </c>
      <c r="AE26" s="54"/>
      <c r="AF26" s="8"/>
    </row>
    <row r="27" spans="1:32" ht="15.75" customHeight="1">
      <c r="A27" s="19" t="s">
        <v>60</v>
      </c>
      <c r="B27" s="24"/>
      <c r="C27" s="24"/>
      <c r="D27" s="24"/>
      <c r="E27" s="24"/>
      <c r="F27" s="24"/>
      <c r="G27" s="24"/>
      <c r="H27" s="24">
        <v>5</v>
      </c>
      <c r="I27" s="24">
        <v>5</v>
      </c>
      <c r="J27" s="24">
        <v>5</v>
      </c>
      <c r="K27" s="24">
        <v>5</v>
      </c>
      <c r="L27" s="20">
        <v>5</v>
      </c>
      <c r="M27" s="23">
        <f t="shared" si="0"/>
        <v>5</v>
      </c>
      <c r="N27" s="24">
        <v>5</v>
      </c>
      <c r="O27" s="24">
        <v>5</v>
      </c>
      <c r="P27" s="24">
        <v>5</v>
      </c>
      <c r="Q27" s="24">
        <v>5</v>
      </c>
      <c r="R27" s="23">
        <f t="shared" si="1"/>
        <v>5</v>
      </c>
      <c r="S27" s="24">
        <v>5</v>
      </c>
      <c r="T27" s="24">
        <v>5</v>
      </c>
      <c r="U27" s="24">
        <v>5</v>
      </c>
      <c r="V27" s="23">
        <f t="shared" si="2"/>
        <v>5</v>
      </c>
      <c r="W27" s="24">
        <v>5</v>
      </c>
      <c r="X27" s="24" t="s">
        <v>19</v>
      </c>
      <c r="Y27" s="24">
        <v>5</v>
      </c>
      <c r="Z27" s="24">
        <v>4</v>
      </c>
      <c r="AA27" s="24">
        <v>5</v>
      </c>
      <c r="AB27" s="24">
        <v>2</v>
      </c>
      <c r="AC27" s="23">
        <f t="shared" si="3"/>
        <v>4.2</v>
      </c>
      <c r="AD27" s="23">
        <f t="shared" si="4"/>
        <v>4.8</v>
      </c>
      <c r="AE27" s="54"/>
      <c r="AF27" s="8"/>
    </row>
    <row r="28" spans="1:32" ht="15.75" customHeight="1">
      <c r="A28" s="19" t="s">
        <v>61</v>
      </c>
      <c r="B28" s="24"/>
      <c r="C28" s="24"/>
      <c r="D28" s="24"/>
      <c r="E28" s="24"/>
      <c r="F28" s="24"/>
      <c r="G28" s="24"/>
      <c r="H28" s="24">
        <v>5</v>
      </c>
      <c r="I28" s="24">
        <v>5</v>
      </c>
      <c r="J28" s="24">
        <v>1</v>
      </c>
      <c r="K28" s="24">
        <v>5</v>
      </c>
      <c r="L28" s="24">
        <v>5</v>
      </c>
      <c r="M28" s="23">
        <f t="shared" si="0"/>
        <v>4</v>
      </c>
      <c r="N28" s="24">
        <v>5</v>
      </c>
      <c r="O28" s="24">
        <v>5</v>
      </c>
      <c r="P28" s="24">
        <v>5</v>
      </c>
      <c r="Q28" s="24">
        <v>5</v>
      </c>
      <c r="R28" s="23">
        <f t="shared" si="1"/>
        <v>5</v>
      </c>
      <c r="S28" s="24">
        <v>4</v>
      </c>
      <c r="T28" s="24">
        <v>5</v>
      </c>
      <c r="U28" s="24">
        <v>3</v>
      </c>
      <c r="V28" s="23">
        <f t="shared" si="2"/>
        <v>4</v>
      </c>
      <c r="W28" s="24">
        <v>5</v>
      </c>
      <c r="X28" s="24" t="s">
        <v>19</v>
      </c>
      <c r="Y28" s="24">
        <v>5</v>
      </c>
      <c r="Z28" s="24">
        <v>5</v>
      </c>
      <c r="AA28" s="24">
        <v>5</v>
      </c>
      <c r="AB28" s="24">
        <v>2</v>
      </c>
      <c r="AC28" s="23">
        <f t="shared" si="3"/>
        <v>4.4000000000000004</v>
      </c>
      <c r="AD28" s="23">
        <f t="shared" si="4"/>
        <v>4.3499999999999996</v>
      </c>
      <c r="AE28" s="54"/>
      <c r="AF28" s="8"/>
    </row>
    <row r="29" spans="1:32" ht="15.75" customHeight="1">
      <c r="A29" s="19" t="s">
        <v>62</v>
      </c>
      <c r="B29" s="24"/>
      <c r="C29" s="24"/>
      <c r="D29" s="24"/>
      <c r="E29" s="24"/>
      <c r="F29" s="24"/>
      <c r="G29" s="24"/>
      <c r="H29" s="24">
        <v>4</v>
      </c>
      <c r="I29" s="24">
        <v>4</v>
      </c>
      <c r="J29" s="24">
        <v>2</v>
      </c>
      <c r="K29" s="24">
        <v>3</v>
      </c>
      <c r="L29" s="24">
        <v>5</v>
      </c>
      <c r="M29" s="23">
        <f t="shared" si="0"/>
        <v>3.25</v>
      </c>
      <c r="N29" s="24">
        <v>4</v>
      </c>
      <c r="O29" s="24">
        <v>3</v>
      </c>
      <c r="P29" s="24">
        <v>5</v>
      </c>
      <c r="Q29" s="24">
        <v>3</v>
      </c>
      <c r="R29" s="23">
        <f t="shared" si="1"/>
        <v>3.75</v>
      </c>
      <c r="S29" s="24">
        <v>5</v>
      </c>
      <c r="T29" s="24">
        <v>5</v>
      </c>
      <c r="U29" s="24">
        <v>4</v>
      </c>
      <c r="V29" s="23">
        <f t="shared" si="2"/>
        <v>4.666666666666667</v>
      </c>
      <c r="W29" s="24">
        <v>5</v>
      </c>
      <c r="X29" s="24" t="s">
        <v>19</v>
      </c>
      <c r="Y29" s="24">
        <v>4</v>
      </c>
      <c r="Z29" s="24">
        <v>2</v>
      </c>
      <c r="AA29" s="24">
        <v>5</v>
      </c>
      <c r="AB29" s="24">
        <v>2</v>
      </c>
      <c r="AC29" s="23">
        <f t="shared" si="3"/>
        <v>3.6</v>
      </c>
      <c r="AD29" s="23">
        <f t="shared" si="4"/>
        <v>3.8166666666666669</v>
      </c>
      <c r="AE29" s="54"/>
      <c r="AF29" s="8"/>
    </row>
    <row r="30" spans="1:32" ht="15.75" customHeight="1">
      <c r="A30" s="19" t="s">
        <v>63</v>
      </c>
      <c r="B30" s="24"/>
      <c r="C30" s="24"/>
      <c r="D30" s="24"/>
      <c r="E30" s="24"/>
      <c r="F30" s="24"/>
      <c r="G30" s="24"/>
      <c r="H30" s="24">
        <v>5</v>
      </c>
      <c r="I30" s="24">
        <v>5</v>
      </c>
      <c r="J30" s="24">
        <v>5</v>
      </c>
      <c r="K30" s="24">
        <v>5</v>
      </c>
      <c r="L30" s="24">
        <v>5</v>
      </c>
      <c r="M30" s="23">
        <f t="shared" si="0"/>
        <v>5</v>
      </c>
      <c r="N30" s="24">
        <v>3</v>
      </c>
      <c r="O30" s="24">
        <v>4</v>
      </c>
      <c r="P30" s="24">
        <v>5</v>
      </c>
      <c r="Q30" s="24">
        <v>3</v>
      </c>
      <c r="R30" s="23">
        <f t="shared" si="1"/>
        <v>3.75</v>
      </c>
      <c r="S30" s="24">
        <v>4</v>
      </c>
      <c r="T30" s="24">
        <v>4</v>
      </c>
      <c r="U30" s="24">
        <v>4</v>
      </c>
      <c r="V30" s="23">
        <f t="shared" si="2"/>
        <v>4</v>
      </c>
      <c r="W30" s="24">
        <v>5</v>
      </c>
      <c r="X30" s="24" t="s">
        <v>19</v>
      </c>
      <c r="Y30" s="24">
        <v>5</v>
      </c>
      <c r="Z30" s="24">
        <v>5</v>
      </c>
      <c r="AA30" s="24">
        <v>5</v>
      </c>
      <c r="AB30" s="24">
        <v>2</v>
      </c>
      <c r="AC30" s="23">
        <f t="shared" si="3"/>
        <v>4.4000000000000004</v>
      </c>
      <c r="AD30" s="23">
        <f t="shared" si="4"/>
        <v>4.2874999999999996</v>
      </c>
      <c r="AE30" s="54"/>
      <c r="AF30" s="8"/>
    </row>
    <row r="31" spans="1:32" ht="15.75" customHeight="1">
      <c r="A31" s="19" t="s">
        <v>64</v>
      </c>
      <c r="B31" s="24"/>
      <c r="C31" s="24"/>
      <c r="D31" s="24"/>
      <c r="E31" s="24"/>
      <c r="F31" s="24"/>
      <c r="G31" s="24"/>
      <c r="H31" s="24">
        <v>5</v>
      </c>
      <c r="I31" s="24">
        <v>5</v>
      </c>
      <c r="J31" s="24">
        <v>3</v>
      </c>
      <c r="K31" s="24">
        <v>5</v>
      </c>
      <c r="L31" s="24">
        <v>5</v>
      </c>
      <c r="M31" s="23">
        <f t="shared" si="0"/>
        <v>4.5</v>
      </c>
      <c r="N31" s="24">
        <v>5</v>
      </c>
      <c r="O31" s="24">
        <v>5</v>
      </c>
      <c r="P31" s="24">
        <v>5</v>
      </c>
      <c r="Q31" s="24">
        <v>5</v>
      </c>
      <c r="R31" s="23">
        <f t="shared" si="1"/>
        <v>5</v>
      </c>
      <c r="S31" s="24">
        <v>5</v>
      </c>
      <c r="T31" s="24">
        <v>4</v>
      </c>
      <c r="U31" s="24">
        <v>5</v>
      </c>
      <c r="V31" s="23">
        <f t="shared" si="2"/>
        <v>4.666666666666667</v>
      </c>
      <c r="W31" s="24">
        <v>5</v>
      </c>
      <c r="X31" s="24" t="s">
        <v>19</v>
      </c>
      <c r="Y31" s="24">
        <v>5</v>
      </c>
      <c r="Z31" s="24">
        <v>5</v>
      </c>
      <c r="AA31" s="24">
        <v>5</v>
      </c>
      <c r="AB31" s="24">
        <v>2</v>
      </c>
      <c r="AC31" s="23">
        <f t="shared" si="3"/>
        <v>4.4000000000000004</v>
      </c>
      <c r="AD31" s="23">
        <f t="shared" si="4"/>
        <v>4.6416666666666666</v>
      </c>
      <c r="AE31" s="54"/>
      <c r="AF31" s="8"/>
    </row>
    <row r="32" spans="1:32" ht="15.75" customHeight="1">
      <c r="A32" s="19" t="s">
        <v>65</v>
      </c>
      <c r="B32" s="24"/>
      <c r="C32" s="24"/>
      <c r="D32" s="24"/>
      <c r="E32" s="24"/>
      <c r="F32" s="24"/>
      <c r="G32" s="24"/>
      <c r="H32" s="24">
        <v>5</v>
      </c>
      <c r="I32" s="24">
        <v>5</v>
      </c>
      <c r="J32" s="24">
        <v>3</v>
      </c>
      <c r="K32" s="24">
        <v>5</v>
      </c>
      <c r="L32" s="24">
        <v>5</v>
      </c>
      <c r="M32" s="23">
        <f t="shared" si="0"/>
        <v>4.5</v>
      </c>
      <c r="N32" s="24">
        <v>3</v>
      </c>
      <c r="O32" s="24">
        <v>4</v>
      </c>
      <c r="P32" s="24">
        <v>5</v>
      </c>
      <c r="Q32" s="24">
        <v>3</v>
      </c>
      <c r="R32" s="23">
        <f t="shared" si="1"/>
        <v>3.75</v>
      </c>
      <c r="S32" s="24">
        <v>5</v>
      </c>
      <c r="T32" s="24">
        <v>5</v>
      </c>
      <c r="U32" s="24">
        <v>5</v>
      </c>
      <c r="V32" s="23">
        <f t="shared" si="2"/>
        <v>5</v>
      </c>
      <c r="W32" s="24">
        <v>5</v>
      </c>
      <c r="X32" s="24" t="s">
        <v>19</v>
      </c>
      <c r="Y32" s="24">
        <v>5</v>
      </c>
      <c r="Z32" s="24">
        <v>5</v>
      </c>
      <c r="AA32" s="24">
        <v>5</v>
      </c>
      <c r="AB32" s="24">
        <v>2</v>
      </c>
      <c r="AC32" s="23">
        <f t="shared" si="3"/>
        <v>4.4000000000000004</v>
      </c>
      <c r="AD32" s="23">
        <f t="shared" si="4"/>
        <v>4.4124999999999996</v>
      </c>
      <c r="AE32" s="54"/>
      <c r="AF32" s="8"/>
    </row>
    <row r="33" spans="1:32" ht="15.75" customHeight="1">
      <c r="A33" s="19" t="s">
        <v>66</v>
      </c>
      <c r="B33" s="24"/>
      <c r="C33" s="24"/>
      <c r="D33" s="24"/>
      <c r="E33" s="24"/>
      <c r="F33" s="24"/>
      <c r="G33" s="24"/>
      <c r="H33" s="24">
        <v>5</v>
      </c>
      <c r="I33" s="24">
        <v>5</v>
      </c>
      <c r="J33" s="24">
        <v>3</v>
      </c>
      <c r="K33" s="24">
        <v>5</v>
      </c>
      <c r="L33" s="24">
        <v>5</v>
      </c>
      <c r="M33" s="23">
        <f t="shared" si="0"/>
        <v>4.5</v>
      </c>
      <c r="N33" s="24">
        <v>5</v>
      </c>
      <c r="O33" s="24">
        <v>5</v>
      </c>
      <c r="P33" s="24">
        <v>5</v>
      </c>
      <c r="Q33" s="24">
        <v>5</v>
      </c>
      <c r="R33" s="23">
        <f t="shared" si="1"/>
        <v>5</v>
      </c>
      <c r="S33" s="24">
        <v>5</v>
      </c>
      <c r="T33" s="24">
        <v>5</v>
      </c>
      <c r="U33" s="24">
        <v>5</v>
      </c>
      <c r="V33" s="23">
        <f t="shared" si="2"/>
        <v>5</v>
      </c>
      <c r="W33" s="24">
        <v>5</v>
      </c>
      <c r="X33" s="24" t="s">
        <v>19</v>
      </c>
      <c r="Y33" s="24">
        <v>5</v>
      </c>
      <c r="Z33" s="24">
        <v>5</v>
      </c>
      <c r="AA33" s="24">
        <v>5</v>
      </c>
      <c r="AB33" s="24">
        <v>2</v>
      </c>
      <c r="AC33" s="23">
        <f t="shared" si="3"/>
        <v>4.4000000000000004</v>
      </c>
      <c r="AD33" s="23">
        <f t="shared" si="4"/>
        <v>4.7249999999999996</v>
      </c>
      <c r="AE33" s="54"/>
      <c r="AF33" s="8"/>
    </row>
    <row r="34" spans="1:32" ht="15.75" customHeight="1">
      <c r="A34" s="19" t="s">
        <v>67</v>
      </c>
      <c r="B34" s="24"/>
      <c r="C34" s="24"/>
      <c r="D34" s="24"/>
      <c r="E34" s="24"/>
      <c r="F34" s="24"/>
      <c r="G34" s="24"/>
      <c r="H34" s="21">
        <v>4</v>
      </c>
      <c r="I34" s="21">
        <v>4</v>
      </c>
      <c r="J34" s="21">
        <v>3</v>
      </c>
      <c r="K34" s="21">
        <v>2</v>
      </c>
      <c r="L34" s="24">
        <v>5</v>
      </c>
      <c r="M34" s="23">
        <f t="shared" si="0"/>
        <v>3.25</v>
      </c>
      <c r="N34" s="22">
        <v>5</v>
      </c>
      <c r="O34" s="22">
        <v>5</v>
      </c>
      <c r="P34" s="22">
        <v>5</v>
      </c>
      <c r="Q34" s="22">
        <v>5</v>
      </c>
      <c r="R34" s="23">
        <f t="shared" si="1"/>
        <v>5</v>
      </c>
      <c r="S34" s="22">
        <v>5</v>
      </c>
      <c r="T34" s="22">
        <v>3</v>
      </c>
      <c r="U34" s="22">
        <v>4</v>
      </c>
      <c r="V34" s="23">
        <f t="shared" si="2"/>
        <v>4</v>
      </c>
      <c r="W34" s="22">
        <v>4</v>
      </c>
      <c r="X34" s="22" t="s">
        <v>19</v>
      </c>
      <c r="Y34" s="22">
        <v>5</v>
      </c>
      <c r="Z34" s="22">
        <v>5</v>
      </c>
      <c r="AA34" s="22">
        <v>4</v>
      </c>
      <c r="AB34" s="22">
        <v>2</v>
      </c>
      <c r="AC34" s="23">
        <f t="shared" si="3"/>
        <v>4</v>
      </c>
      <c r="AD34" s="23">
        <f t="shared" si="4"/>
        <v>4.0625</v>
      </c>
      <c r="AE34" s="54"/>
      <c r="AF34" s="8"/>
    </row>
    <row r="35" spans="1:32" ht="15.75" customHeight="1">
      <c r="A35" s="19" t="s">
        <v>68</v>
      </c>
      <c r="B35" s="24"/>
      <c r="C35" s="24"/>
      <c r="D35" s="24"/>
      <c r="E35" s="24"/>
      <c r="F35" s="24"/>
      <c r="G35" s="24"/>
      <c r="H35" s="24">
        <v>5</v>
      </c>
      <c r="I35" s="24">
        <v>5</v>
      </c>
      <c r="J35" s="24">
        <v>4</v>
      </c>
      <c r="K35" s="24">
        <v>5</v>
      </c>
      <c r="L35" s="21">
        <v>3</v>
      </c>
      <c r="M35" s="23">
        <f t="shared" si="0"/>
        <v>4.75</v>
      </c>
      <c r="N35" s="24">
        <v>5</v>
      </c>
      <c r="O35" s="24">
        <v>5</v>
      </c>
      <c r="P35" s="24">
        <v>5</v>
      </c>
      <c r="Q35" s="24">
        <v>5</v>
      </c>
      <c r="R35" s="23">
        <f t="shared" si="1"/>
        <v>5</v>
      </c>
      <c r="S35" s="24">
        <v>5</v>
      </c>
      <c r="T35" s="24">
        <v>5</v>
      </c>
      <c r="U35" s="24">
        <v>5</v>
      </c>
      <c r="V35" s="23">
        <f t="shared" si="2"/>
        <v>5</v>
      </c>
      <c r="W35" s="24">
        <v>5</v>
      </c>
      <c r="X35" s="24" t="s">
        <v>19</v>
      </c>
      <c r="Y35" s="24">
        <v>5</v>
      </c>
      <c r="Z35" s="24">
        <v>5</v>
      </c>
      <c r="AA35" s="24">
        <v>5</v>
      </c>
      <c r="AB35" s="24">
        <v>2</v>
      </c>
      <c r="AC35" s="23">
        <f t="shared" si="3"/>
        <v>4.4000000000000004</v>
      </c>
      <c r="AD35" s="23">
        <f t="shared" si="4"/>
        <v>4.7874999999999996</v>
      </c>
      <c r="AE35" s="55"/>
      <c r="AF35" s="8"/>
    </row>
    <row r="36" spans="1:32" ht="15.75" customHeight="1">
      <c r="A36" s="19" t="s">
        <v>69</v>
      </c>
      <c r="B36" s="24"/>
      <c r="C36" s="24"/>
      <c r="D36" s="24"/>
      <c r="E36" s="24"/>
      <c r="F36" s="24"/>
      <c r="G36" s="24"/>
      <c r="H36" s="24">
        <v>5</v>
      </c>
      <c r="I36" s="24">
        <v>5</v>
      </c>
      <c r="J36" s="24">
        <v>2</v>
      </c>
      <c r="K36" s="24">
        <v>5</v>
      </c>
      <c r="L36" s="24">
        <v>5</v>
      </c>
      <c r="M36" s="23">
        <f t="shared" si="0"/>
        <v>4.25</v>
      </c>
      <c r="N36" s="24">
        <v>5</v>
      </c>
      <c r="O36" s="24">
        <v>5</v>
      </c>
      <c r="P36" s="24">
        <v>5</v>
      </c>
      <c r="Q36" s="24">
        <v>5</v>
      </c>
      <c r="R36" s="23">
        <f t="shared" si="1"/>
        <v>5</v>
      </c>
      <c r="S36" s="24">
        <v>5</v>
      </c>
      <c r="T36" s="24">
        <v>3</v>
      </c>
      <c r="U36" s="24">
        <v>4</v>
      </c>
      <c r="V36" s="23">
        <f t="shared" si="2"/>
        <v>4</v>
      </c>
      <c r="W36" s="24">
        <v>5</v>
      </c>
      <c r="X36" s="24" t="s">
        <v>19</v>
      </c>
      <c r="Y36" s="24">
        <v>4</v>
      </c>
      <c r="Z36" s="24">
        <v>5</v>
      </c>
      <c r="AA36" s="24">
        <v>3</v>
      </c>
      <c r="AB36" s="24">
        <v>2</v>
      </c>
      <c r="AC36" s="23">
        <f t="shared" si="3"/>
        <v>3.8</v>
      </c>
      <c r="AD36" s="23">
        <f t="shared" si="4"/>
        <v>4.2625000000000002</v>
      </c>
      <c r="AE36" s="54"/>
      <c r="AF36" s="8"/>
    </row>
    <row r="37" spans="1:32" ht="15.75" customHeight="1">
      <c r="A37" s="19" t="s">
        <v>70</v>
      </c>
      <c r="B37" s="24"/>
      <c r="C37" s="24"/>
      <c r="D37" s="24"/>
      <c r="E37" s="24"/>
      <c r="F37" s="24"/>
      <c r="G37" s="24"/>
      <c r="H37" s="24">
        <v>5</v>
      </c>
      <c r="I37" s="24">
        <v>3</v>
      </c>
      <c r="J37" s="24">
        <v>5</v>
      </c>
      <c r="K37" s="24">
        <v>5</v>
      </c>
      <c r="L37" s="24">
        <v>5</v>
      </c>
      <c r="M37" s="23">
        <f t="shared" si="0"/>
        <v>4.5</v>
      </c>
      <c r="N37" s="24">
        <v>5</v>
      </c>
      <c r="O37" s="24">
        <v>3</v>
      </c>
      <c r="P37" s="24">
        <v>5</v>
      </c>
      <c r="Q37" s="24">
        <v>5</v>
      </c>
      <c r="R37" s="23">
        <f t="shared" si="1"/>
        <v>4.5</v>
      </c>
      <c r="S37" s="24">
        <v>5</v>
      </c>
      <c r="T37" s="24">
        <v>5</v>
      </c>
      <c r="U37" s="24">
        <v>5</v>
      </c>
      <c r="V37" s="23">
        <f t="shared" si="2"/>
        <v>5</v>
      </c>
      <c r="W37" s="24">
        <v>5</v>
      </c>
      <c r="X37" s="24">
        <v>5</v>
      </c>
      <c r="Y37" s="24">
        <v>5</v>
      </c>
      <c r="Z37" s="24">
        <v>5</v>
      </c>
      <c r="AA37" s="24">
        <v>4</v>
      </c>
      <c r="AB37" s="24">
        <v>2</v>
      </c>
      <c r="AC37" s="23">
        <f t="shared" si="3"/>
        <v>4.333333333333333</v>
      </c>
      <c r="AD37" s="23">
        <f t="shared" si="4"/>
        <v>4.583333333333333</v>
      </c>
      <c r="AE37" s="54"/>
      <c r="AF37" s="8"/>
    </row>
    <row r="38" spans="1:32" ht="15.75" customHeight="1">
      <c r="A38" s="19" t="s">
        <v>71</v>
      </c>
      <c r="B38" s="24"/>
      <c r="C38" s="24"/>
      <c r="D38" s="24"/>
      <c r="E38" s="24"/>
      <c r="F38" s="24"/>
      <c r="G38" s="24"/>
      <c r="H38" s="24">
        <v>5</v>
      </c>
      <c r="I38" s="24">
        <v>5</v>
      </c>
      <c r="J38" s="24">
        <v>5</v>
      </c>
      <c r="K38" s="24">
        <v>5</v>
      </c>
      <c r="L38" s="24">
        <v>5</v>
      </c>
      <c r="M38" s="23">
        <f t="shared" si="0"/>
        <v>5</v>
      </c>
      <c r="N38" s="24">
        <v>5</v>
      </c>
      <c r="O38" s="24">
        <v>5</v>
      </c>
      <c r="P38" s="24">
        <v>5</v>
      </c>
      <c r="Q38" s="24">
        <v>5</v>
      </c>
      <c r="R38" s="23">
        <f t="shared" si="1"/>
        <v>5</v>
      </c>
      <c r="S38" s="24">
        <v>5</v>
      </c>
      <c r="T38" s="24">
        <v>5</v>
      </c>
      <c r="U38" s="24">
        <v>5</v>
      </c>
      <c r="V38" s="23">
        <f t="shared" si="2"/>
        <v>5</v>
      </c>
      <c r="W38" s="24">
        <v>5</v>
      </c>
      <c r="X38" s="24" t="s">
        <v>19</v>
      </c>
      <c r="Y38" s="24">
        <v>5</v>
      </c>
      <c r="Z38" s="24">
        <v>5</v>
      </c>
      <c r="AA38" s="24">
        <v>3</v>
      </c>
      <c r="AB38" s="24">
        <v>2</v>
      </c>
      <c r="AC38" s="23">
        <f t="shared" si="3"/>
        <v>4</v>
      </c>
      <c r="AD38" s="23">
        <f t="shared" si="4"/>
        <v>4.75</v>
      </c>
      <c r="AE38" s="54"/>
      <c r="AF38" s="8"/>
    </row>
    <row r="39" spans="1:32" ht="15.75" customHeight="1">
      <c r="A39" s="19" t="s">
        <v>72</v>
      </c>
      <c r="B39" s="24"/>
      <c r="C39" s="24"/>
      <c r="D39" s="24"/>
      <c r="E39" s="24"/>
      <c r="F39" s="24"/>
      <c r="G39" s="24"/>
      <c r="H39" s="24">
        <v>5</v>
      </c>
      <c r="I39" s="24">
        <v>5</v>
      </c>
      <c r="J39" s="24">
        <v>3</v>
      </c>
      <c r="K39" s="24">
        <v>4</v>
      </c>
      <c r="L39" s="24">
        <v>5</v>
      </c>
      <c r="M39" s="23">
        <f t="shared" si="0"/>
        <v>4.25</v>
      </c>
      <c r="N39" s="24">
        <v>5</v>
      </c>
      <c r="O39" s="24">
        <v>5</v>
      </c>
      <c r="P39" s="24">
        <v>5</v>
      </c>
      <c r="Q39" s="24">
        <v>5</v>
      </c>
      <c r="R39" s="23">
        <f t="shared" si="1"/>
        <v>5</v>
      </c>
      <c r="S39" s="24">
        <v>5</v>
      </c>
      <c r="T39" s="24">
        <v>3</v>
      </c>
      <c r="U39" s="24">
        <v>3</v>
      </c>
      <c r="V39" s="23">
        <f t="shared" si="2"/>
        <v>3.6666666666666665</v>
      </c>
      <c r="W39" s="24">
        <v>5</v>
      </c>
      <c r="X39" s="24">
        <v>5</v>
      </c>
      <c r="Y39" s="24">
        <v>4</v>
      </c>
      <c r="Z39" s="24">
        <v>5</v>
      </c>
      <c r="AA39" s="24">
        <v>3</v>
      </c>
      <c r="AB39" s="24">
        <v>2</v>
      </c>
      <c r="AC39" s="23">
        <f t="shared" si="3"/>
        <v>4</v>
      </c>
      <c r="AD39" s="23">
        <f t="shared" si="4"/>
        <v>4.2291666666666661</v>
      </c>
      <c r="AE39" s="54"/>
      <c r="AF39" s="8"/>
    </row>
    <row r="40" spans="1:32" ht="15.75" customHeight="1">
      <c r="A40" s="103" t="s">
        <v>124</v>
      </c>
      <c r="B40" s="24"/>
      <c r="C40" s="24"/>
      <c r="D40" s="24"/>
      <c r="E40" s="24"/>
      <c r="F40" s="24"/>
      <c r="G40" s="24"/>
      <c r="H40" s="56">
        <f>AVERAGE(H4:H39)</f>
        <v>3.9444444444444446</v>
      </c>
      <c r="I40" s="56">
        <f t="shared" ref="I40:AD40" si="5">AVERAGE(I4:I39)</f>
        <v>4</v>
      </c>
      <c r="J40" s="56">
        <f t="shared" si="5"/>
        <v>3.2222222222222223</v>
      </c>
      <c r="K40" s="56">
        <f t="shared" si="5"/>
        <v>3.6388888888888888</v>
      </c>
      <c r="L40" s="56">
        <f t="shared" si="5"/>
        <v>4.166666666666667</v>
      </c>
      <c r="M40" s="104">
        <f t="shared" si="5"/>
        <v>3.7013888888888888</v>
      </c>
      <c r="N40" s="56">
        <f t="shared" si="5"/>
        <v>4.3888888888888893</v>
      </c>
      <c r="O40" s="56">
        <f t="shared" si="5"/>
        <v>4.3888888888888893</v>
      </c>
      <c r="P40" s="56">
        <f t="shared" si="5"/>
        <v>4.8611111111111107</v>
      </c>
      <c r="Q40" s="56">
        <f t="shared" si="5"/>
        <v>4.6944444444444446</v>
      </c>
      <c r="R40" s="104">
        <f t="shared" si="5"/>
        <v>4.583333333333333</v>
      </c>
      <c r="S40" s="56">
        <f t="shared" si="5"/>
        <v>4.6388888888888893</v>
      </c>
      <c r="T40" s="56">
        <f t="shared" si="5"/>
        <v>4.1388888888888893</v>
      </c>
      <c r="U40" s="56">
        <f t="shared" si="5"/>
        <v>4</v>
      </c>
      <c r="V40" s="104">
        <f t="shared" si="5"/>
        <v>4.2592592592592595</v>
      </c>
      <c r="W40" s="56">
        <f t="shared" si="5"/>
        <v>4.6944444444444446</v>
      </c>
      <c r="X40" s="56">
        <f t="shared" si="5"/>
        <v>3.75</v>
      </c>
      <c r="Y40" s="56">
        <f t="shared" si="5"/>
        <v>4.6969696969696972</v>
      </c>
      <c r="Z40" s="56">
        <f t="shared" si="5"/>
        <v>4.6060606060606064</v>
      </c>
      <c r="AA40" s="56">
        <f t="shared" si="5"/>
        <v>4.3888888888888893</v>
      </c>
      <c r="AB40" s="56">
        <f t="shared" si="5"/>
        <v>2.0277777777777777</v>
      </c>
      <c r="AC40" s="104">
        <f t="shared" si="5"/>
        <v>4.0083333333333355</v>
      </c>
      <c r="AD40" s="56">
        <f t="shared" si="5"/>
        <v>4.1380787037037017</v>
      </c>
      <c r="AE40" s="8"/>
      <c r="AF40" s="8"/>
    </row>
    <row r="41" spans="1:32" ht="15.75" customHeight="1"/>
    <row r="42" spans="1:32" ht="15.75" customHeight="1"/>
    <row r="43" spans="1:32" ht="15.75" customHeight="1"/>
    <row r="44" spans="1:32" ht="15.75" customHeight="1"/>
    <row r="45" spans="1:32" ht="15.75" customHeight="1"/>
    <row r="46" spans="1:32" ht="15.75" customHeight="1"/>
    <row r="47" spans="1:32" ht="15.75" customHeight="1"/>
    <row r="48" spans="1:3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7">
    <mergeCell ref="AD2:AD3"/>
    <mergeCell ref="C2:D2"/>
    <mergeCell ref="E2:G2"/>
    <mergeCell ref="H2:M2"/>
    <mergeCell ref="N2:R2"/>
    <mergeCell ref="S2:V2"/>
    <mergeCell ref="W2:AC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1"/>
  <sheetViews>
    <sheetView topLeftCell="A13" zoomScale="99" workbookViewId="0">
      <selection activeCell="A46" sqref="A46"/>
    </sheetView>
  </sheetViews>
  <sheetFormatPr defaultColWidth="12.7109375" defaultRowHeight="15" customHeight="1"/>
  <cols>
    <col min="1" max="1" width="33.28515625" customWidth="1"/>
    <col min="2" max="2" width="24" customWidth="1"/>
    <col min="3" max="3" width="28" customWidth="1"/>
    <col min="4" max="4" width="30.85546875" customWidth="1"/>
    <col min="5" max="5" width="27.7109375" customWidth="1"/>
    <col min="6" max="6" width="27.140625" customWidth="1"/>
    <col min="7" max="7" width="25.140625" customWidth="1"/>
    <col min="8" max="8" width="21" customWidth="1"/>
    <col min="9" max="9" width="26.140625" customWidth="1"/>
    <col min="10" max="10" width="22.85546875" customWidth="1"/>
    <col min="11" max="11" width="27" customWidth="1"/>
    <col min="12" max="12" width="8.7109375" customWidth="1"/>
  </cols>
  <sheetData>
    <row r="1" spans="1:12" ht="15.75" thickBot="1">
      <c r="A1" s="1" t="s">
        <v>27</v>
      </c>
    </row>
    <row r="2" spans="1:12" ht="87.75" customHeight="1" thickBot="1">
      <c r="A2" s="2" t="s">
        <v>28</v>
      </c>
      <c r="B2" s="105" t="s">
        <v>29</v>
      </c>
      <c r="C2" s="93"/>
      <c r="D2" s="93"/>
      <c r="E2" s="93"/>
      <c r="F2" s="93"/>
      <c r="G2" s="93"/>
      <c r="H2" s="93"/>
      <c r="I2" s="93"/>
      <c r="J2" s="93"/>
      <c r="K2" s="93"/>
    </row>
    <row r="3" spans="1:12" ht="133.5" customHeight="1">
      <c r="A3" s="2" t="s">
        <v>9</v>
      </c>
      <c r="B3" s="2" t="s">
        <v>91</v>
      </c>
      <c r="C3" s="2" t="s">
        <v>92</v>
      </c>
      <c r="D3" s="2" t="s">
        <v>93</v>
      </c>
      <c r="E3" s="2" t="s">
        <v>94</v>
      </c>
      <c r="F3" s="2" t="s">
        <v>95</v>
      </c>
      <c r="G3" s="2" t="s">
        <v>96</v>
      </c>
      <c r="H3" s="2" t="s">
        <v>97</v>
      </c>
      <c r="I3" s="2" t="s">
        <v>98</v>
      </c>
      <c r="J3" s="2" t="s">
        <v>99</v>
      </c>
      <c r="K3" s="2" t="s">
        <v>100</v>
      </c>
      <c r="L3" s="3" t="s">
        <v>30</v>
      </c>
    </row>
    <row r="4" spans="1:12" ht="17.25" customHeight="1">
      <c r="A4" s="67" t="s">
        <v>10</v>
      </c>
      <c r="B4" s="26">
        <v>1</v>
      </c>
      <c r="C4" s="28">
        <v>0</v>
      </c>
      <c r="D4" s="29">
        <v>1</v>
      </c>
      <c r="E4" s="28">
        <v>1</v>
      </c>
      <c r="F4" s="28">
        <v>0</v>
      </c>
      <c r="G4" s="28">
        <v>0</v>
      </c>
      <c r="H4" s="28">
        <v>1</v>
      </c>
      <c r="I4" s="28">
        <v>0</v>
      </c>
      <c r="J4" s="28">
        <v>1</v>
      </c>
      <c r="K4" s="28">
        <v>0</v>
      </c>
      <c r="L4" s="37">
        <f t="shared" ref="L4:L39" si="0">SUM(B4:K4)</f>
        <v>5</v>
      </c>
    </row>
    <row r="5" spans="1:12" ht="17.25" customHeight="1">
      <c r="A5" s="67" t="s">
        <v>72</v>
      </c>
      <c r="B5" s="26">
        <v>1</v>
      </c>
      <c r="C5" s="28">
        <v>1</v>
      </c>
      <c r="D5" s="29">
        <v>0</v>
      </c>
      <c r="E5" s="28">
        <v>0</v>
      </c>
      <c r="F5" s="28">
        <v>0</v>
      </c>
      <c r="G5" s="28">
        <v>0</v>
      </c>
      <c r="H5" s="28">
        <v>0</v>
      </c>
      <c r="I5" s="28">
        <v>0</v>
      </c>
      <c r="J5" s="28">
        <v>0</v>
      </c>
      <c r="K5" s="28">
        <v>0</v>
      </c>
      <c r="L5" s="37">
        <f t="shared" si="0"/>
        <v>2</v>
      </c>
    </row>
    <row r="6" spans="1:12" ht="15.75" customHeight="1">
      <c r="A6" s="67" t="s">
        <v>11</v>
      </c>
      <c r="B6" s="26">
        <v>1</v>
      </c>
      <c r="C6" s="28">
        <v>0</v>
      </c>
      <c r="D6" s="29">
        <v>1</v>
      </c>
      <c r="E6" s="28">
        <v>1</v>
      </c>
      <c r="F6" s="28">
        <v>0</v>
      </c>
      <c r="G6" s="28">
        <v>0</v>
      </c>
      <c r="H6" s="28">
        <v>1</v>
      </c>
      <c r="I6" s="28">
        <v>0</v>
      </c>
      <c r="J6" s="28">
        <v>1</v>
      </c>
      <c r="K6" s="28">
        <v>1</v>
      </c>
      <c r="L6" s="37">
        <f t="shared" si="0"/>
        <v>6</v>
      </c>
    </row>
    <row r="7" spans="1:12" ht="18.75" customHeight="1">
      <c r="A7" s="67" t="s">
        <v>12</v>
      </c>
      <c r="B7" s="25">
        <v>1</v>
      </c>
      <c r="C7" s="28">
        <v>0</v>
      </c>
      <c r="D7" s="29">
        <v>0</v>
      </c>
      <c r="E7" s="28">
        <v>0</v>
      </c>
      <c r="F7" s="28">
        <v>0</v>
      </c>
      <c r="G7" s="28">
        <v>0</v>
      </c>
      <c r="H7" s="28">
        <v>0</v>
      </c>
      <c r="I7" s="28">
        <v>0</v>
      </c>
      <c r="J7" s="28">
        <v>0</v>
      </c>
      <c r="K7" s="28">
        <v>0</v>
      </c>
      <c r="L7" s="37">
        <f t="shared" si="0"/>
        <v>1</v>
      </c>
    </row>
    <row r="8" spans="1:12" ht="21" customHeight="1">
      <c r="A8" s="67" t="s">
        <v>13</v>
      </c>
      <c r="B8" s="25">
        <v>1</v>
      </c>
      <c r="C8" s="28">
        <v>0</v>
      </c>
      <c r="D8" s="29">
        <v>1</v>
      </c>
      <c r="E8" s="28">
        <v>1</v>
      </c>
      <c r="F8" s="28">
        <v>1</v>
      </c>
      <c r="G8" s="28">
        <v>1</v>
      </c>
      <c r="H8" s="28">
        <v>1</v>
      </c>
      <c r="I8" s="28">
        <v>0</v>
      </c>
      <c r="J8" s="28">
        <v>1</v>
      </c>
      <c r="K8" s="28">
        <v>1</v>
      </c>
      <c r="L8" s="37">
        <f t="shared" si="0"/>
        <v>8</v>
      </c>
    </row>
    <row r="9" spans="1:12" ht="21" customHeight="1">
      <c r="A9" s="67" t="s">
        <v>14</v>
      </c>
      <c r="B9" s="25">
        <v>1</v>
      </c>
      <c r="C9" s="28">
        <v>0</v>
      </c>
      <c r="D9" s="29">
        <v>1</v>
      </c>
      <c r="E9" s="28">
        <v>1</v>
      </c>
      <c r="F9" s="28">
        <v>0</v>
      </c>
      <c r="G9" s="28">
        <v>0</v>
      </c>
      <c r="H9" s="28">
        <v>1</v>
      </c>
      <c r="I9" s="28">
        <v>0</v>
      </c>
      <c r="J9" s="28">
        <v>0</v>
      </c>
      <c r="K9" s="28">
        <v>0</v>
      </c>
      <c r="L9" s="37">
        <f t="shared" si="0"/>
        <v>4</v>
      </c>
    </row>
    <row r="10" spans="1:12" ht="15.75" customHeight="1">
      <c r="A10" s="22" t="s">
        <v>15</v>
      </c>
      <c r="B10" s="25">
        <v>1</v>
      </c>
      <c r="C10" s="28">
        <v>0</v>
      </c>
      <c r="D10" s="29">
        <v>1</v>
      </c>
      <c r="E10" s="28">
        <v>1</v>
      </c>
      <c r="F10" s="28">
        <v>0</v>
      </c>
      <c r="G10" s="28">
        <v>0</v>
      </c>
      <c r="H10" s="28">
        <v>1</v>
      </c>
      <c r="I10" s="28">
        <v>0</v>
      </c>
      <c r="J10" s="28">
        <v>0</v>
      </c>
      <c r="K10" s="28">
        <v>0</v>
      </c>
      <c r="L10" s="37">
        <f t="shared" si="0"/>
        <v>4</v>
      </c>
    </row>
    <row r="11" spans="1:12" ht="20.25" customHeight="1">
      <c r="A11" s="22" t="s">
        <v>16</v>
      </c>
      <c r="B11" s="25">
        <v>1</v>
      </c>
      <c r="C11" s="28">
        <v>0</v>
      </c>
      <c r="D11" s="29">
        <v>1</v>
      </c>
      <c r="E11" s="28">
        <v>1</v>
      </c>
      <c r="F11" s="28">
        <v>0</v>
      </c>
      <c r="G11" s="28">
        <v>0</v>
      </c>
      <c r="H11" s="28">
        <v>1</v>
      </c>
      <c r="I11" s="28">
        <v>0</v>
      </c>
      <c r="J11" s="28">
        <v>0</v>
      </c>
      <c r="K11" s="28">
        <v>0</v>
      </c>
      <c r="L11" s="37">
        <f t="shared" si="0"/>
        <v>4</v>
      </c>
    </row>
    <row r="12" spans="1:12" ht="17.25" customHeight="1">
      <c r="A12" s="116" t="s">
        <v>17</v>
      </c>
      <c r="B12" s="25">
        <v>1</v>
      </c>
      <c r="C12" s="28">
        <v>1</v>
      </c>
      <c r="D12" s="29">
        <v>1</v>
      </c>
      <c r="E12" s="28">
        <v>1</v>
      </c>
      <c r="F12" s="28">
        <v>0</v>
      </c>
      <c r="G12" s="28">
        <v>1</v>
      </c>
      <c r="H12" s="28">
        <v>1</v>
      </c>
      <c r="I12" s="28">
        <v>0</v>
      </c>
      <c r="J12" s="28">
        <v>1</v>
      </c>
      <c r="K12" s="28">
        <v>0</v>
      </c>
      <c r="L12" s="37">
        <f t="shared" si="0"/>
        <v>7</v>
      </c>
    </row>
    <row r="13" spans="1:12" ht="21" customHeight="1">
      <c r="A13" s="116" t="s">
        <v>18</v>
      </c>
      <c r="B13" s="25">
        <v>1</v>
      </c>
      <c r="C13" s="28">
        <v>0</v>
      </c>
      <c r="D13" s="29">
        <v>0</v>
      </c>
      <c r="E13" s="28">
        <v>0</v>
      </c>
      <c r="F13" s="28">
        <v>0</v>
      </c>
      <c r="G13" s="28">
        <v>0</v>
      </c>
      <c r="H13" s="28">
        <v>0</v>
      </c>
      <c r="I13" s="28">
        <v>0</v>
      </c>
      <c r="J13" s="28">
        <v>0</v>
      </c>
      <c r="K13" s="28">
        <v>0</v>
      </c>
      <c r="L13" s="37">
        <f t="shared" si="0"/>
        <v>1</v>
      </c>
    </row>
    <row r="14" spans="1:12" ht="19.5" customHeight="1">
      <c r="A14" s="22" t="s">
        <v>20</v>
      </c>
      <c r="B14" s="25">
        <v>1</v>
      </c>
      <c r="C14" s="28">
        <v>1</v>
      </c>
      <c r="D14" s="29">
        <v>0</v>
      </c>
      <c r="E14" s="28">
        <v>0</v>
      </c>
      <c r="F14" s="28">
        <v>0</v>
      </c>
      <c r="G14" s="28">
        <v>0</v>
      </c>
      <c r="H14" s="28">
        <v>0</v>
      </c>
      <c r="I14" s="28">
        <v>0</v>
      </c>
      <c r="J14" s="28">
        <v>0</v>
      </c>
      <c r="K14" s="28">
        <v>0</v>
      </c>
      <c r="L14" s="37">
        <f t="shared" si="0"/>
        <v>2</v>
      </c>
    </row>
    <row r="15" spans="1:12">
      <c r="A15" s="22" t="s">
        <v>21</v>
      </c>
      <c r="B15" s="26">
        <v>1</v>
      </c>
      <c r="C15" s="28">
        <v>1</v>
      </c>
      <c r="D15" s="29">
        <v>0</v>
      </c>
      <c r="E15" s="28">
        <v>0</v>
      </c>
      <c r="F15" s="28">
        <v>0</v>
      </c>
      <c r="G15" s="28">
        <v>0</v>
      </c>
      <c r="H15" s="28">
        <v>0</v>
      </c>
      <c r="I15" s="28">
        <v>0</v>
      </c>
      <c r="J15" s="28">
        <v>0</v>
      </c>
      <c r="K15" s="28">
        <v>0</v>
      </c>
      <c r="L15" s="37">
        <f t="shared" si="0"/>
        <v>2</v>
      </c>
    </row>
    <row r="16" spans="1:12">
      <c r="A16" s="22" t="s">
        <v>22</v>
      </c>
      <c r="B16" s="26">
        <v>1</v>
      </c>
      <c r="C16" s="28">
        <v>0</v>
      </c>
      <c r="D16" s="29">
        <v>0</v>
      </c>
      <c r="E16" s="28">
        <v>0</v>
      </c>
      <c r="F16" s="28">
        <v>0</v>
      </c>
      <c r="G16" s="28">
        <v>0</v>
      </c>
      <c r="H16" s="28">
        <v>0</v>
      </c>
      <c r="I16" s="28">
        <v>0</v>
      </c>
      <c r="J16" s="28">
        <v>1</v>
      </c>
      <c r="K16" s="28">
        <v>0</v>
      </c>
      <c r="L16" s="37">
        <f t="shared" si="0"/>
        <v>2</v>
      </c>
    </row>
    <row r="17" spans="1:12">
      <c r="A17" s="22" t="s">
        <v>23</v>
      </c>
      <c r="B17" s="26">
        <v>1</v>
      </c>
      <c r="C17" s="28">
        <v>1</v>
      </c>
      <c r="D17" s="29">
        <v>0</v>
      </c>
      <c r="E17" s="28">
        <v>0</v>
      </c>
      <c r="F17" s="28">
        <v>0</v>
      </c>
      <c r="G17" s="28">
        <v>0</v>
      </c>
      <c r="H17" s="28">
        <v>0</v>
      </c>
      <c r="I17" s="28">
        <v>0</v>
      </c>
      <c r="J17" s="28">
        <v>0</v>
      </c>
      <c r="K17" s="28">
        <v>0</v>
      </c>
      <c r="L17" s="37">
        <f t="shared" si="0"/>
        <v>2</v>
      </c>
    </row>
    <row r="18" spans="1:12">
      <c r="A18" s="22" t="s">
        <v>24</v>
      </c>
      <c r="B18" s="26">
        <v>1</v>
      </c>
      <c r="C18" s="28">
        <v>0</v>
      </c>
      <c r="D18" s="29">
        <v>0</v>
      </c>
      <c r="E18" s="28">
        <v>0</v>
      </c>
      <c r="F18" s="28">
        <v>0</v>
      </c>
      <c r="G18" s="28">
        <v>0</v>
      </c>
      <c r="H18" s="28">
        <v>0</v>
      </c>
      <c r="I18" s="28">
        <v>0</v>
      </c>
      <c r="J18" s="28">
        <v>0</v>
      </c>
      <c r="K18" s="28">
        <v>0</v>
      </c>
      <c r="L18" s="37">
        <f t="shared" si="0"/>
        <v>1</v>
      </c>
    </row>
    <row r="19" spans="1:12">
      <c r="A19" s="22" t="s">
        <v>31</v>
      </c>
      <c r="B19" s="26">
        <v>1</v>
      </c>
      <c r="C19" s="28">
        <v>0</v>
      </c>
      <c r="D19" s="29">
        <v>0</v>
      </c>
      <c r="E19" s="28">
        <v>0</v>
      </c>
      <c r="F19" s="28">
        <v>0</v>
      </c>
      <c r="G19" s="28">
        <v>0</v>
      </c>
      <c r="H19" s="28">
        <v>0</v>
      </c>
      <c r="I19" s="28">
        <v>0</v>
      </c>
      <c r="J19" s="28">
        <v>0</v>
      </c>
      <c r="K19" s="28">
        <v>0</v>
      </c>
      <c r="L19" s="37">
        <f t="shared" si="0"/>
        <v>1</v>
      </c>
    </row>
    <row r="20" spans="1:12">
      <c r="A20" s="22" t="s">
        <v>25</v>
      </c>
      <c r="B20" s="30">
        <v>1</v>
      </c>
      <c r="C20" s="31">
        <v>1</v>
      </c>
      <c r="D20" s="29">
        <v>0</v>
      </c>
      <c r="E20" s="31">
        <v>0</v>
      </c>
      <c r="F20" s="31">
        <v>0</v>
      </c>
      <c r="G20" s="31">
        <v>0</v>
      </c>
      <c r="H20" s="31">
        <v>0</v>
      </c>
      <c r="I20" s="31">
        <v>0</v>
      </c>
      <c r="J20" s="31">
        <v>0</v>
      </c>
      <c r="K20" s="31">
        <v>0</v>
      </c>
      <c r="L20" s="37">
        <f t="shared" si="0"/>
        <v>2</v>
      </c>
    </row>
    <row r="21" spans="1:12">
      <c r="A21" s="22" t="s">
        <v>26</v>
      </c>
      <c r="B21" s="30">
        <v>1</v>
      </c>
      <c r="C21" s="31">
        <v>0</v>
      </c>
      <c r="D21" s="29">
        <v>0</v>
      </c>
      <c r="E21" s="31">
        <v>0</v>
      </c>
      <c r="F21" s="31">
        <v>0</v>
      </c>
      <c r="G21" s="31">
        <v>0</v>
      </c>
      <c r="H21" s="31">
        <v>0</v>
      </c>
      <c r="I21" s="31">
        <v>0</v>
      </c>
      <c r="J21" s="31">
        <v>1</v>
      </c>
      <c r="K21" s="31">
        <v>1</v>
      </c>
      <c r="L21" s="37">
        <f t="shared" si="0"/>
        <v>3</v>
      </c>
    </row>
    <row r="22" spans="1:12" ht="15.75" customHeight="1">
      <c r="A22" s="22" t="s">
        <v>54</v>
      </c>
      <c r="B22" s="26">
        <v>1</v>
      </c>
      <c r="C22" s="28">
        <v>0</v>
      </c>
      <c r="D22" s="29">
        <v>0</v>
      </c>
      <c r="E22" s="28">
        <v>0</v>
      </c>
      <c r="F22" s="28">
        <v>0</v>
      </c>
      <c r="G22" s="28">
        <v>0</v>
      </c>
      <c r="H22" s="28">
        <v>0</v>
      </c>
      <c r="I22" s="28">
        <v>0</v>
      </c>
      <c r="J22" s="28">
        <v>1</v>
      </c>
      <c r="K22" s="28">
        <v>0</v>
      </c>
      <c r="L22" s="37">
        <f t="shared" si="0"/>
        <v>2</v>
      </c>
    </row>
    <row r="23" spans="1:12" ht="15.75" customHeight="1">
      <c r="A23" s="22" t="s">
        <v>55</v>
      </c>
      <c r="B23" s="26">
        <v>1</v>
      </c>
      <c r="C23" s="28">
        <v>1</v>
      </c>
      <c r="D23" s="29">
        <v>1</v>
      </c>
      <c r="E23" s="28">
        <v>1</v>
      </c>
      <c r="F23" s="28">
        <v>0</v>
      </c>
      <c r="G23" s="28">
        <v>0</v>
      </c>
      <c r="H23" s="28">
        <v>1</v>
      </c>
      <c r="I23" s="28">
        <v>1</v>
      </c>
      <c r="J23" s="28">
        <v>0</v>
      </c>
      <c r="K23" s="28">
        <v>1</v>
      </c>
      <c r="L23" s="37">
        <f t="shared" si="0"/>
        <v>7</v>
      </c>
    </row>
    <row r="24" spans="1:12" ht="15.75" customHeight="1">
      <c r="A24" s="68" t="s">
        <v>56</v>
      </c>
      <c r="B24" s="26">
        <v>1</v>
      </c>
      <c r="C24" s="28">
        <v>0</v>
      </c>
      <c r="D24" s="29">
        <v>0</v>
      </c>
      <c r="E24" s="28">
        <v>0</v>
      </c>
      <c r="F24" s="28">
        <v>0</v>
      </c>
      <c r="G24" s="28">
        <v>0</v>
      </c>
      <c r="H24" s="28">
        <v>0</v>
      </c>
      <c r="I24" s="28">
        <v>0</v>
      </c>
      <c r="J24" s="28">
        <v>1</v>
      </c>
      <c r="K24" s="28">
        <v>0</v>
      </c>
      <c r="L24" s="37">
        <f t="shared" si="0"/>
        <v>2</v>
      </c>
    </row>
    <row r="25" spans="1:12" ht="15.75" customHeight="1">
      <c r="A25" s="22" t="s">
        <v>58</v>
      </c>
      <c r="B25" s="26">
        <v>1</v>
      </c>
      <c r="C25" s="28">
        <v>1</v>
      </c>
      <c r="D25" s="29">
        <v>0</v>
      </c>
      <c r="E25" s="28">
        <v>0</v>
      </c>
      <c r="F25" s="28">
        <v>0</v>
      </c>
      <c r="G25" s="28">
        <v>0</v>
      </c>
      <c r="H25" s="28">
        <v>0</v>
      </c>
      <c r="I25" s="28">
        <v>0</v>
      </c>
      <c r="J25" s="28">
        <v>0</v>
      </c>
      <c r="K25" s="28">
        <v>0</v>
      </c>
      <c r="L25" s="37">
        <f t="shared" si="0"/>
        <v>2</v>
      </c>
    </row>
    <row r="26" spans="1:12" ht="15.75" customHeight="1">
      <c r="A26" s="22" t="s">
        <v>57</v>
      </c>
      <c r="B26" s="26">
        <v>1</v>
      </c>
      <c r="C26" s="28">
        <v>0</v>
      </c>
      <c r="D26" s="29">
        <v>1</v>
      </c>
      <c r="E26" s="28">
        <v>0</v>
      </c>
      <c r="F26" s="28">
        <v>0</v>
      </c>
      <c r="G26" s="28">
        <v>0</v>
      </c>
      <c r="H26" s="28">
        <v>0</v>
      </c>
      <c r="I26" s="28">
        <v>0</v>
      </c>
      <c r="J26" s="28">
        <v>1</v>
      </c>
      <c r="K26" s="28">
        <v>1</v>
      </c>
      <c r="L26" s="37">
        <f t="shared" si="0"/>
        <v>4</v>
      </c>
    </row>
    <row r="27" spans="1:12" ht="15.75" customHeight="1">
      <c r="A27" s="68" t="s">
        <v>59</v>
      </c>
      <c r="B27" s="26">
        <v>1</v>
      </c>
      <c r="C27" s="28">
        <v>1</v>
      </c>
      <c r="D27" s="29">
        <v>0</v>
      </c>
      <c r="E27" s="28">
        <v>0</v>
      </c>
      <c r="F27" s="28">
        <v>0</v>
      </c>
      <c r="G27" s="28">
        <v>0</v>
      </c>
      <c r="H27" s="28">
        <v>0</v>
      </c>
      <c r="I27" s="28">
        <v>0</v>
      </c>
      <c r="J27" s="28">
        <v>0</v>
      </c>
      <c r="K27" s="28">
        <v>0</v>
      </c>
      <c r="L27" s="37">
        <f t="shared" si="0"/>
        <v>2</v>
      </c>
    </row>
    <row r="28" spans="1:12" ht="15.75" customHeight="1">
      <c r="A28" s="68" t="s">
        <v>60</v>
      </c>
      <c r="B28" s="26">
        <v>1</v>
      </c>
      <c r="C28" s="28">
        <v>0</v>
      </c>
      <c r="D28" s="29">
        <v>1</v>
      </c>
      <c r="E28" s="28">
        <v>0</v>
      </c>
      <c r="F28" s="28">
        <v>0</v>
      </c>
      <c r="G28" s="28">
        <v>1</v>
      </c>
      <c r="H28" s="28">
        <v>0</v>
      </c>
      <c r="I28" s="28">
        <v>0</v>
      </c>
      <c r="J28" s="28">
        <v>1</v>
      </c>
      <c r="K28" s="28">
        <v>0</v>
      </c>
      <c r="L28" s="37">
        <f t="shared" si="0"/>
        <v>4</v>
      </c>
    </row>
    <row r="29" spans="1:12" ht="15.75" customHeight="1">
      <c r="A29" s="22" t="s">
        <v>61</v>
      </c>
      <c r="B29" s="26">
        <v>1</v>
      </c>
      <c r="C29" s="28">
        <v>1</v>
      </c>
      <c r="D29" s="29">
        <v>0</v>
      </c>
      <c r="E29" s="28">
        <v>0</v>
      </c>
      <c r="F29" s="28">
        <v>0</v>
      </c>
      <c r="G29" s="28">
        <v>0</v>
      </c>
      <c r="H29" s="28">
        <v>0</v>
      </c>
      <c r="I29" s="28">
        <v>0</v>
      </c>
      <c r="J29" s="28">
        <v>0</v>
      </c>
      <c r="K29" s="28">
        <v>0</v>
      </c>
      <c r="L29" s="37">
        <f t="shared" si="0"/>
        <v>2</v>
      </c>
    </row>
    <row r="30" spans="1:12" ht="15.75" customHeight="1">
      <c r="A30" s="22" t="s">
        <v>62</v>
      </c>
      <c r="B30" s="26">
        <v>1</v>
      </c>
      <c r="C30" s="28">
        <v>0</v>
      </c>
      <c r="D30" s="29">
        <v>0</v>
      </c>
      <c r="E30" s="28">
        <v>0</v>
      </c>
      <c r="F30" s="28">
        <v>0</v>
      </c>
      <c r="G30" s="28">
        <v>0</v>
      </c>
      <c r="H30" s="28">
        <v>0</v>
      </c>
      <c r="I30" s="31">
        <v>0</v>
      </c>
      <c r="J30" s="28">
        <v>0</v>
      </c>
      <c r="K30" s="28">
        <v>0</v>
      </c>
      <c r="L30" s="37">
        <f t="shared" si="0"/>
        <v>1</v>
      </c>
    </row>
    <row r="31" spans="1:12" ht="15.75" customHeight="1">
      <c r="A31" s="22" t="s">
        <v>63</v>
      </c>
      <c r="B31" s="26">
        <v>1</v>
      </c>
      <c r="C31" s="28">
        <v>0</v>
      </c>
      <c r="D31" s="29">
        <v>1</v>
      </c>
      <c r="E31" s="28">
        <v>0</v>
      </c>
      <c r="F31" s="28">
        <v>0</v>
      </c>
      <c r="G31" s="28">
        <v>0</v>
      </c>
      <c r="H31" s="28">
        <v>1</v>
      </c>
      <c r="I31" s="28">
        <v>1</v>
      </c>
      <c r="J31" s="28">
        <v>0</v>
      </c>
      <c r="K31" s="28">
        <v>1</v>
      </c>
      <c r="L31" s="37">
        <f t="shared" si="0"/>
        <v>5</v>
      </c>
    </row>
    <row r="32" spans="1:12" ht="15.75" customHeight="1">
      <c r="A32" s="22" t="s">
        <v>64</v>
      </c>
      <c r="B32" s="26">
        <v>1</v>
      </c>
      <c r="C32" s="28">
        <v>0</v>
      </c>
      <c r="D32" s="29">
        <v>0</v>
      </c>
      <c r="E32" s="28">
        <v>0</v>
      </c>
      <c r="F32" s="28">
        <v>0</v>
      </c>
      <c r="G32" s="28">
        <v>0</v>
      </c>
      <c r="H32" s="28">
        <v>0</v>
      </c>
      <c r="I32" s="28">
        <v>0</v>
      </c>
      <c r="J32" s="28">
        <v>0</v>
      </c>
      <c r="K32" s="28">
        <v>0</v>
      </c>
      <c r="L32" s="37">
        <f t="shared" si="0"/>
        <v>1</v>
      </c>
    </row>
    <row r="33" spans="1:12" ht="15.75" customHeight="1">
      <c r="A33" s="22" t="s">
        <v>65</v>
      </c>
      <c r="B33" s="26">
        <v>1</v>
      </c>
      <c r="C33" s="28">
        <v>0</v>
      </c>
      <c r="D33" s="29">
        <v>1</v>
      </c>
      <c r="E33" s="28">
        <v>0</v>
      </c>
      <c r="F33" s="28">
        <v>0</v>
      </c>
      <c r="G33" s="28">
        <v>0</v>
      </c>
      <c r="H33" s="28">
        <v>1</v>
      </c>
      <c r="I33" s="28">
        <v>0</v>
      </c>
      <c r="J33" s="28">
        <v>0</v>
      </c>
      <c r="K33" s="28">
        <v>0</v>
      </c>
      <c r="L33" s="37">
        <f t="shared" si="0"/>
        <v>3</v>
      </c>
    </row>
    <row r="34" spans="1:12" ht="15.75" customHeight="1">
      <c r="A34" s="68" t="s">
        <v>66</v>
      </c>
      <c r="B34" s="26">
        <v>1</v>
      </c>
      <c r="C34" s="28">
        <v>0</v>
      </c>
      <c r="D34" s="29">
        <v>0</v>
      </c>
      <c r="E34" s="28">
        <v>0</v>
      </c>
      <c r="F34" s="28">
        <v>0</v>
      </c>
      <c r="G34" s="28">
        <v>0</v>
      </c>
      <c r="H34" s="28">
        <v>0</v>
      </c>
      <c r="I34" s="28">
        <v>0</v>
      </c>
      <c r="J34" s="28">
        <v>0</v>
      </c>
      <c r="K34" s="28">
        <v>0</v>
      </c>
      <c r="L34" s="37">
        <f t="shared" si="0"/>
        <v>1</v>
      </c>
    </row>
    <row r="35" spans="1:12" ht="15.75" customHeight="1">
      <c r="A35" s="22" t="s">
        <v>67</v>
      </c>
      <c r="B35" s="26">
        <v>1</v>
      </c>
      <c r="C35" s="28">
        <v>1</v>
      </c>
      <c r="D35" s="29">
        <v>0</v>
      </c>
      <c r="E35" s="28">
        <v>0</v>
      </c>
      <c r="F35" s="28">
        <v>0</v>
      </c>
      <c r="G35" s="28">
        <v>0</v>
      </c>
      <c r="H35" s="28">
        <v>0</v>
      </c>
      <c r="I35" s="28">
        <v>0</v>
      </c>
      <c r="J35" s="28">
        <v>0</v>
      </c>
      <c r="K35" s="28">
        <v>0</v>
      </c>
      <c r="L35" s="37">
        <f t="shared" si="0"/>
        <v>2</v>
      </c>
    </row>
    <row r="36" spans="1:12" ht="15.75" customHeight="1">
      <c r="A36" s="22" t="s">
        <v>68</v>
      </c>
      <c r="B36" s="26">
        <v>1</v>
      </c>
      <c r="C36" s="28">
        <v>0</v>
      </c>
      <c r="D36" s="29">
        <v>0</v>
      </c>
      <c r="E36" s="28">
        <v>0</v>
      </c>
      <c r="F36" s="28">
        <v>0</v>
      </c>
      <c r="G36" s="28">
        <v>1</v>
      </c>
      <c r="H36" s="28">
        <v>0</v>
      </c>
      <c r="I36" s="28">
        <v>0</v>
      </c>
      <c r="J36" s="28">
        <v>1</v>
      </c>
      <c r="K36" s="28">
        <v>0</v>
      </c>
      <c r="L36" s="37">
        <f t="shared" si="0"/>
        <v>3</v>
      </c>
    </row>
    <row r="37" spans="1:12" ht="15.75" customHeight="1">
      <c r="A37" s="22" t="s">
        <v>69</v>
      </c>
      <c r="B37" s="26">
        <v>1</v>
      </c>
      <c r="C37" s="28">
        <v>0</v>
      </c>
      <c r="D37" s="29">
        <v>0</v>
      </c>
      <c r="E37" s="28">
        <v>0</v>
      </c>
      <c r="F37" s="28">
        <v>0</v>
      </c>
      <c r="G37" s="28">
        <v>0</v>
      </c>
      <c r="H37" s="28">
        <v>0</v>
      </c>
      <c r="I37" s="28">
        <v>0</v>
      </c>
      <c r="J37" s="28">
        <v>0</v>
      </c>
      <c r="K37" s="28">
        <v>0</v>
      </c>
      <c r="L37" s="37">
        <f t="shared" si="0"/>
        <v>1</v>
      </c>
    </row>
    <row r="38" spans="1:12" ht="15.75" customHeight="1">
      <c r="A38" s="22" t="s">
        <v>70</v>
      </c>
      <c r="B38" s="26">
        <v>1</v>
      </c>
      <c r="C38" s="28">
        <v>0</v>
      </c>
      <c r="D38" s="29">
        <v>1</v>
      </c>
      <c r="E38" s="28">
        <v>1</v>
      </c>
      <c r="F38" s="28">
        <v>0</v>
      </c>
      <c r="G38" s="28">
        <v>1</v>
      </c>
      <c r="H38" s="28">
        <v>0</v>
      </c>
      <c r="I38" s="28">
        <v>0</v>
      </c>
      <c r="J38" s="28">
        <v>1</v>
      </c>
      <c r="K38" s="28">
        <v>0</v>
      </c>
      <c r="L38" s="106">
        <f t="shared" si="0"/>
        <v>5</v>
      </c>
    </row>
    <row r="39" spans="1:12" ht="15.75" customHeight="1">
      <c r="A39" s="68" t="s">
        <v>71</v>
      </c>
      <c r="B39" s="26">
        <v>1</v>
      </c>
      <c r="C39" s="28">
        <v>0</v>
      </c>
      <c r="D39" s="29">
        <v>0</v>
      </c>
      <c r="E39" s="28">
        <v>0</v>
      </c>
      <c r="F39" s="28">
        <v>0</v>
      </c>
      <c r="G39" s="28">
        <v>1</v>
      </c>
      <c r="H39" s="28">
        <v>1</v>
      </c>
      <c r="I39" s="28">
        <v>0</v>
      </c>
      <c r="J39" s="28">
        <v>1</v>
      </c>
      <c r="K39" s="28">
        <v>0</v>
      </c>
      <c r="L39" s="108">
        <f t="shared" si="0"/>
        <v>4</v>
      </c>
    </row>
    <row r="40" spans="1:12" ht="15.75" customHeight="1">
      <c r="B40">
        <f>AVERAGE(B4:B39)</f>
        <v>1</v>
      </c>
      <c r="C40" s="38">
        <f t="shared" ref="C40:K40" si="1">AVERAGE(C4:C39)</f>
        <v>0.30555555555555558</v>
      </c>
      <c r="D40" s="38">
        <f t="shared" si="1"/>
        <v>0.3611111111111111</v>
      </c>
      <c r="E40" s="38">
        <f t="shared" si="1"/>
        <v>0.25</v>
      </c>
      <c r="F40" s="38">
        <f t="shared" si="1"/>
        <v>2.7777777777777776E-2</v>
      </c>
      <c r="G40" s="38">
        <f t="shared" si="1"/>
        <v>0.16666666666666666</v>
      </c>
      <c r="H40" s="38">
        <f t="shared" si="1"/>
        <v>0.30555555555555558</v>
      </c>
      <c r="I40" s="38">
        <f t="shared" si="1"/>
        <v>5.5555555555555552E-2</v>
      </c>
      <c r="J40" s="38">
        <f t="shared" si="1"/>
        <v>0.3611111111111111</v>
      </c>
      <c r="K40" s="38">
        <f t="shared" si="1"/>
        <v>0.16666666666666666</v>
      </c>
      <c r="L40" s="107">
        <f>MEDIAN(L4:L39)</f>
        <v>2</v>
      </c>
    </row>
    <row r="41" spans="1:12" ht="15.75" customHeight="1"/>
    <row r="42" spans="1:12" ht="15.75" customHeight="1"/>
    <row r="43" spans="1:12" ht="15.75" customHeight="1"/>
    <row r="44" spans="1:12" ht="15.75" customHeight="1"/>
    <row r="45" spans="1:12" ht="15.75" customHeight="1"/>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B2:K2"/>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workbookViewId="0">
      <selection activeCell="B43" sqref="B43"/>
    </sheetView>
  </sheetViews>
  <sheetFormatPr defaultColWidth="12.7109375" defaultRowHeight="15" customHeight="1"/>
  <cols>
    <col min="1" max="1" width="29.85546875" customWidth="1"/>
    <col min="2" max="2" width="10.7109375" customWidth="1"/>
    <col min="3" max="3" width="8.7109375" customWidth="1"/>
    <col min="4" max="4" width="14.140625" customWidth="1"/>
    <col min="5" max="12" width="8.7109375" customWidth="1"/>
    <col min="13" max="13" width="13.7109375" customWidth="1"/>
    <col min="14" max="14" width="12.140625" customWidth="1"/>
    <col min="15" max="15" width="13.7109375" customWidth="1"/>
    <col min="16" max="17" width="8.7109375" customWidth="1"/>
    <col min="18" max="18" width="11.28515625" customWidth="1"/>
    <col min="19" max="21" width="8.7109375" customWidth="1"/>
    <col min="22" max="22" width="12.7109375" customWidth="1"/>
    <col min="23" max="23" width="16.85546875" customWidth="1"/>
  </cols>
  <sheetData>
    <row r="1" spans="1:23" ht="30" customHeight="1">
      <c r="A1" s="109" t="s">
        <v>50</v>
      </c>
      <c r="B1" s="110" t="s">
        <v>51</v>
      </c>
      <c r="C1" s="111"/>
      <c r="D1" s="111"/>
      <c r="E1" s="111"/>
      <c r="F1" s="111"/>
      <c r="G1" s="111"/>
      <c r="H1" s="111"/>
      <c r="I1" s="111"/>
      <c r="J1" s="111"/>
      <c r="K1" s="111"/>
      <c r="L1" s="111"/>
      <c r="M1" s="112"/>
      <c r="N1" s="113" t="s">
        <v>52</v>
      </c>
      <c r="O1" s="114"/>
      <c r="P1" s="114"/>
      <c r="Q1" s="114"/>
      <c r="R1" s="114"/>
      <c r="S1" s="113" t="s">
        <v>53</v>
      </c>
      <c r="T1" s="113"/>
      <c r="U1" s="113"/>
      <c r="V1" s="113"/>
      <c r="W1" s="24"/>
    </row>
    <row r="2" spans="1:23" ht="90">
      <c r="A2" s="109" t="s">
        <v>9</v>
      </c>
      <c r="B2" s="109" t="s">
        <v>101</v>
      </c>
      <c r="C2" s="109" t="s">
        <v>102</v>
      </c>
      <c r="D2" s="109" t="s">
        <v>103</v>
      </c>
      <c r="E2" s="109" t="s">
        <v>104</v>
      </c>
      <c r="F2" s="109" t="s">
        <v>105</v>
      </c>
      <c r="G2" s="109" t="s">
        <v>106</v>
      </c>
      <c r="H2" s="109" t="s">
        <v>107</v>
      </c>
      <c r="I2" s="109" t="s">
        <v>108</v>
      </c>
      <c r="J2" s="109" t="s">
        <v>109</v>
      </c>
      <c r="K2" s="109" t="s">
        <v>110</v>
      </c>
      <c r="L2" s="109" t="s">
        <v>111</v>
      </c>
      <c r="M2" s="109" t="s">
        <v>112</v>
      </c>
      <c r="N2" s="109" t="s">
        <v>113</v>
      </c>
      <c r="O2" s="109" t="s">
        <v>114</v>
      </c>
      <c r="P2" s="109" t="s">
        <v>115</v>
      </c>
      <c r="Q2" s="109" t="s">
        <v>116</v>
      </c>
      <c r="R2" s="109" t="s">
        <v>117</v>
      </c>
      <c r="S2" s="109" t="s">
        <v>118</v>
      </c>
      <c r="T2" s="109" t="s">
        <v>119</v>
      </c>
      <c r="U2" s="109" t="s">
        <v>120</v>
      </c>
      <c r="V2" s="109" t="s">
        <v>121</v>
      </c>
      <c r="W2" s="115" t="s">
        <v>122</v>
      </c>
    </row>
    <row r="3" spans="1:23" ht="15.75">
      <c r="A3" s="32" t="s">
        <v>10</v>
      </c>
      <c r="B3" s="27">
        <v>1</v>
      </c>
      <c r="C3" s="27">
        <v>1</v>
      </c>
      <c r="D3" s="27">
        <v>0</v>
      </c>
      <c r="E3" s="27">
        <v>1</v>
      </c>
      <c r="F3" s="27">
        <v>0</v>
      </c>
      <c r="G3" s="27">
        <v>0</v>
      </c>
      <c r="H3" s="27">
        <v>0</v>
      </c>
      <c r="I3" s="27">
        <v>0</v>
      </c>
      <c r="J3" s="27">
        <v>0</v>
      </c>
      <c r="K3" s="27">
        <v>0</v>
      </c>
      <c r="L3" s="27">
        <v>0</v>
      </c>
      <c r="M3" s="27">
        <v>1</v>
      </c>
      <c r="N3" s="27">
        <v>0</v>
      </c>
      <c r="O3" s="27">
        <v>0</v>
      </c>
      <c r="P3" s="27">
        <v>0</v>
      </c>
      <c r="Q3" s="27">
        <v>0</v>
      </c>
      <c r="R3" s="27">
        <v>0</v>
      </c>
      <c r="S3" s="27">
        <v>0</v>
      </c>
      <c r="T3" s="27">
        <v>0</v>
      </c>
      <c r="U3" s="27">
        <v>1</v>
      </c>
      <c r="V3" s="27">
        <v>0</v>
      </c>
      <c r="W3" s="36">
        <f>SUM(B3:V3)</f>
        <v>5</v>
      </c>
    </row>
    <row r="4" spans="1:23" ht="15.75">
      <c r="A4" s="32" t="s">
        <v>72</v>
      </c>
      <c r="B4" s="27">
        <v>0</v>
      </c>
      <c r="C4" s="27">
        <v>0</v>
      </c>
      <c r="D4" s="27">
        <v>0</v>
      </c>
      <c r="E4" s="27">
        <v>1</v>
      </c>
      <c r="F4" s="27">
        <v>0</v>
      </c>
      <c r="G4" s="27">
        <v>0</v>
      </c>
      <c r="H4" s="27">
        <v>0</v>
      </c>
      <c r="I4" s="27">
        <v>0</v>
      </c>
      <c r="J4" s="27">
        <v>0</v>
      </c>
      <c r="K4" s="27">
        <v>0</v>
      </c>
      <c r="L4" s="27">
        <v>0</v>
      </c>
      <c r="M4" s="27">
        <v>0</v>
      </c>
      <c r="N4" s="27">
        <v>0</v>
      </c>
      <c r="O4" s="27">
        <v>0</v>
      </c>
      <c r="P4" s="27">
        <v>0</v>
      </c>
      <c r="Q4" s="27">
        <v>0</v>
      </c>
      <c r="R4" s="27">
        <v>0</v>
      </c>
      <c r="S4" s="27">
        <v>0</v>
      </c>
      <c r="T4" s="27">
        <v>0</v>
      </c>
      <c r="U4" s="27">
        <v>0</v>
      </c>
      <c r="V4" s="27">
        <v>0</v>
      </c>
      <c r="W4" s="33">
        <f t="shared" ref="W4:W38" si="0">SUM(B4:V4)</f>
        <v>1</v>
      </c>
    </row>
    <row r="5" spans="1:23" ht="15.75">
      <c r="A5" s="32" t="s">
        <v>11</v>
      </c>
      <c r="B5" s="27">
        <v>0</v>
      </c>
      <c r="C5" s="27">
        <v>1</v>
      </c>
      <c r="D5" s="27">
        <v>0</v>
      </c>
      <c r="E5" s="27">
        <v>1</v>
      </c>
      <c r="F5" s="27">
        <v>0</v>
      </c>
      <c r="G5" s="27">
        <v>0</v>
      </c>
      <c r="H5" s="27">
        <v>0</v>
      </c>
      <c r="I5" s="27">
        <v>0</v>
      </c>
      <c r="J5" s="27">
        <v>0</v>
      </c>
      <c r="K5" s="27">
        <v>0</v>
      </c>
      <c r="L5" s="27">
        <v>0</v>
      </c>
      <c r="M5" s="27">
        <v>0</v>
      </c>
      <c r="N5" s="27">
        <v>0</v>
      </c>
      <c r="O5" s="27">
        <v>0</v>
      </c>
      <c r="P5" s="27">
        <v>0</v>
      </c>
      <c r="Q5" s="27">
        <v>0</v>
      </c>
      <c r="R5" s="27">
        <v>0</v>
      </c>
      <c r="S5" s="27">
        <v>0</v>
      </c>
      <c r="T5" s="27">
        <v>0</v>
      </c>
      <c r="U5" s="27">
        <v>0</v>
      </c>
      <c r="V5" s="27">
        <v>0</v>
      </c>
      <c r="W5" s="33">
        <f t="shared" si="0"/>
        <v>2</v>
      </c>
    </row>
    <row r="6" spans="1:23" ht="15.75">
      <c r="A6" s="32" t="s">
        <v>12</v>
      </c>
      <c r="B6" s="27">
        <v>0</v>
      </c>
      <c r="C6" s="27">
        <v>0</v>
      </c>
      <c r="D6" s="27">
        <v>0</v>
      </c>
      <c r="E6" s="27">
        <v>0</v>
      </c>
      <c r="F6" s="27">
        <v>0</v>
      </c>
      <c r="G6" s="27">
        <v>0</v>
      </c>
      <c r="H6" s="27">
        <v>0</v>
      </c>
      <c r="I6" s="27">
        <v>0</v>
      </c>
      <c r="J6" s="27">
        <v>0</v>
      </c>
      <c r="K6" s="27">
        <v>0</v>
      </c>
      <c r="L6" s="27">
        <v>0</v>
      </c>
      <c r="M6" s="27">
        <v>0</v>
      </c>
      <c r="N6" s="27">
        <v>0</v>
      </c>
      <c r="O6" s="27">
        <v>0</v>
      </c>
      <c r="P6" s="27">
        <v>0</v>
      </c>
      <c r="Q6" s="27">
        <v>0</v>
      </c>
      <c r="R6" s="27">
        <v>0</v>
      </c>
      <c r="S6" s="27">
        <v>0</v>
      </c>
      <c r="T6" s="27">
        <v>0</v>
      </c>
      <c r="U6" s="27">
        <v>0</v>
      </c>
      <c r="V6" s="27">
        <v>0</v>
      </c>
      <c r="W6" s="33">
        <f t="shared" si="0"/>
        <v>0</v>
      </c>
    </row>
    <row r="7" spans="1:23" ht="15.75">
      <c r="A7" s="32" t="s">
        <v>13</v>
      </c>
      <c r="B7" s="27">
        <v>0</v>
      </c>
      <c r="C7" s="27">
        <v>1</v>
      </c>
      <c r="D7" s="27">
        <v>1</v>
      </c>
      <c r="E7" s="27">
        <v>1</v>
      </c>
      <c r="F7" s="27">
        <v>0</v>
      </c>
      <c r="G7" s="27">
        <v>0</v>
      </c>
      <c r="H7" s="27">
        <v>0</v>
      </c>
      <c r="I7" s="27">
        <v>0</v>
      </c>
      <c r="J7" s="27">
        <v>0</v>
      </c>
      <c r="K7" s="27">
        <v>0</v>
      </c>
      <c r="L7" s="27">
        <v>0</v>
      </c>
      <c r="M7" s="27">
        <v>1</v>
      </c>
      <c r="N7" s="27">
        <v>0</v>
      </c>
      <c r="O7" s="27">
        <v>0</v>
      </c>
      <c r="P7" s="27">
        <v>0</v>
      </c>
      <c r="Q7" s="27">
        <v>0</v>
      </c>
      <c r="R7" s="27">
        <v>1</v>
      </c>
      <c r="S7" s="27">
        <v>0</v>
      </c>
      <c r="T7" s="27">
        <v>0</v>
      </c>
      <c r="U7" s="27">
        <v>1</v>
      </c>
      <c r="V7" s="27">
        <v>0</v>
      </c>
      <c r="W7" s="36">
        <f t="shared" si="0"/>
        <v>6</v>
      </c>
    </row>
    <row r="8" spans="1:23" ht="15.75">
      <c r="A8" s="32" t="s">
        <v>14</v>
      </c>
      <c r="B8" s="27">
        <v>0</v>
      </c>
      <c r="C8" s="27">
        <v>0</v>
      </c>
      <c r="D8" s="27">
        <v>0</v>
      </c>
      <c r="E8" s="27">
        <v>0</v>
      </c>
      <c r="F8" s="27">
        <v>0</v>
      </c>
      <c r="G8" s="27">
        <v>0</v>
      </c>
      <c r="H8" s="27">
        <v>0</v>
      </c>
      <c r="I8" s="27">
        <v>0</v>
      </c>
      <c r="J8" s="27">
        <v>0</v>
      </c>
      <c r="K8" s="27">
        <v>0</v>
      </c>
      <c r="L8" s="27">
        <v>0</v>
      </c>
      <c r="M8" s="27">
        <v>0</v>
      </c>
      <c r="N8" s="27">
        <v>0</v>
      </c>
      <c r="O8" s="27">
        <v>0</v>
      </c>
      <c r="P8" s="27">
        <v>0</v>
      </c>
      <c r="Q8" s="27">
        <v>0</v>
      </c>
      <c r="R8" s="27">
        <v>0</v>
      </c>
      <c r="S8" s="27">
        <v>0</v>
      </c>
      <c r="T8" s="27">
        <v>0</v>
      </c>
      <c r="U8" s="27">
        <v>0</v>
      </c>
      <c r="V8" s="27">
        <v>0</v>
      </c>
      <c r="W8" s="33">
        <f t="shared" si="0"/>
        <v>0</v>
      </c>
    </row>
    <row r="9" spans="1:23" ht="15.75">
      <c r="A9" s="32" t="s">
        <v>15</v>
      </c>
      <c r="B9" s="27">
        <v>0</v>
      </c>
      <c r="C9" s="27">
        <v>0</v>
      </c>
      <c r="D9" s="27">
        <v>0</v>
      </c>
      <c r="E9" s="27">
        <v>0</v>
      </c>
      <c r="F9" s="27">
        <v>0</v>
      </c>
      <c r="G9" s="27">
        <v>0</v>
      </c>
      <c r="H9" s="27">
        <v>0</v>
      </c>
      <c r="I9" s="27">
        <v>0</v>
      </c>
      <c r="J9" s="27">
        <v>0</v>
      </c>
      <c r="K9" s="27">
        <v>0</v>
      </c>
      <c r="L9" s="27">
        <v>0</v>
      </c>
      <c r="M9" s="27">
        <v>0</v>
      </c>
      <c r="N9" s="27">
        <v>0</v>
      </c>
      <c r="O9" s="27">
        <v>0</v>
      </c>
      <c r="P9" s="27">
        <v>0</v>
      </c>
      <c r="Q9" s="27">
        <v>0</v>
      </c>
      <c r="R9" s="27">
        <v>0</v>
      </c>
      <c r="S9" s="27">
        <v>0</v>
      </c>
      <c r="T9" s="27">
        <v>0</v>
      </c>
      <c r="U9" s="27">
        <v>0</v>
      </c>
      <c r="V9" s="27">
        <v>0</v>
      </c>
      <c r="W9" s="33">
        <f t="shared" si="0"/>
        <v>0</v>
      </c>
    </row>
    <row r="10" spans="1:23" ht="15.75">
      <c r="A10" s="32" t="s">
        <v>16</v>
      </c>
      <c r="B10" s="27">
        <v>0</v>
      </c>
      <c r="C10" s="27">
        <v>0</v>
      </c>
      <c r="D10" s="27">
        <v>0</v>
      </c>
      <c r="E10" s="27">
        <v>0</v>
      </c>
      <c r="F10" s="27">
        <v>0</v>
      </c>
      <c r="G10" s="27">
        <v>0</v>
      </c>
      <c r="H10" s="27">
        <v>0</v>
      </c>
      <c r="I10" s="27">
        <v>0</v>
      </c>
      <c r="J10" s="27">
        <v>0</v>
      </c>
      <c r="K10" s="27">
        <v>0</v>
      </c>
      <c r="L10" s="27">
        <v>0</v>
      </c>
      <c r="M10" s="27">
        <v>0</v>
      </c>
      <c r="N10" s="27">
        <v>0</v>
      </c>
      <c r="O10" s="27">
        <v>0</v>
      </c>
      <c r="P10" s="27">
        <v>0</v>
      </c>
      <c r="Q10" s="27">
        <v>0</v>
      </c>
      <c r="R10" s="27">
        <v>0</v>
      </c>
      <c r="S10" s="27">
        <v>0</v>
      </c>
      <c r="T10" s="27">
        <v>0</v>
      </c>
      <c r="U10" s="27">
        <v>0</v>
      </c>
      <c r="V10" s="27">
        <v>0</v>
      </c>
      <c r="W10" s="33">
        <f t="shared" si="0"/>
        <v>0</v>
      </c>
    </row>
    <row r="11" spans="1:23" ht="15.75">
      <c r="A11" s="32" t="s">
        <v>17</v>
      </c>
      <c r="B11" s="27">
        <v>0</v>
      </c>
      <c r="C11" s="27">
        <v>1</v>
      </c>
      <c r="D11" s="27">
        <v>1</v>
      </c>
      <c r="E11" s="27">
        <v>1</v>
      </c>
      <c r="F11" s="27">
        <v>1</v>
      </c>
      <c r="G11" s="27">
        <v>1</v>
      </c>
      <c r="H11" s="27">
        <v>0</v>
      </c>
      <c r="I11" s="27">
        <v>1</v>
      </c>
      <c r="J11" s="27">
        <v>0</v>
      </c>
      <c r="K11" s="27">
        <v>0</v>
      </c>
      <c r="L11" s="27">
        <v>0</v>
      </c>
      <c r="M11" s="27">
        <v>1</v>
      </c>
      <c r="N11" s="27">
        <v>0</v>
      </c>
      <c r="O11" s="27">
        <v>0</v>
      </c>
      <c r="P11" s="27">
        <v>0</v>
      </c>
      <c r="Q11" s="27">
        <v>0</v>
      </c>
      <c r="R11" s="27">
        <v>0</v>
      </c>
      <c r="S11" s="27">
        <v>0</v>
      </c>
      <c r="T11" s="27">
        <v>0</v>
      </c>
      <c r="U11" s="27">
        <v>1</v>
      </c>
      <c r="V11" s="27">
        <v>0</v>
      </c>
      <c r="W11" s="36">
        <f t="shared" si="0"/>
        <v>8</v>
      </c>
    </row>
    <row r="12" spans="1:23" ht="15.75">
      <c r="A12" s="32" t="s">
        <v>18</v>
      </c>
      <c r="B12" s="27">
        <v>0</v>
      </c>
      <c r="C12" s="27">
        <v>0</v>
      </c>
      <c r="D12" s="27">
        <v>0</v>
      </c>
      <c r="E12" s="27">
        <v>0</v>
      </c>
      <c r="F12" s="27">
        <v>0</v>
      </c>
      <c r="G12" s="27">
        <v>0</v>
      </c>
      <c r="H12" s="27">
        <v>0</v>
      </c>
      <c r="I12" s="27">
        <v>0</v>
      </c>
      <c r="J12" s="27">
        <v>0</v>
      </c>
      <c r="K12" s="27">
        <v>0</v>
      </c>
      <c r="L12" s="27">
        <v>0</v>
      </c>
      <c r="M12" s="27">
        <v>0</v>
      </c>
      <c r="N12" s="27">
        <v>0</v>
      </c>
      <c r="O12" s="27">
        <v>0</v>
      </c>
      <c r="P12" s="27">
        <v>0</v>
      </c>
      <c r="Q12" s="27">
        <v>0</v>
      </c>
      <c r="R12" s="27">
        <v>0</v>
      </c>
      <c r="S12" s="27">
        <v>0</v>
      </c>
      <c r="T12" s="27">
        <v>0</v>
      </c>
      <c r="U12" s="27">
        <v>0</v>
      </c>
      <c r="V12" s="27">
        <v>0</v>
      </c>
      <c r="W12" s="33">
        <f t="shared" si="0"/>
        <v>0</v>
      </c>
    </row>
    <row r="13" spans="1:23" ht="15.75">
      <c r="A13" s="32" t="s">
        <v>20</v>
      </c>
      <c r="B13" s="27">
        <v>0</v>
      </c>
      <c r="C13" s="27">
        <v>1</v>
      </c>
      <c r="D13" s="27">
        <v>0</v>
      </c>
      <c r="E13" s="27">
        <v>1</v>
      </c>
      <c r="F13" s="27">
        <v>0</v>
      </c>
      <c r="G13" s="27">
        <v>0</v>
      </c>
      <c r="H13" s="27">
        <v>0</v>
      </c>
      <c r="I13" s="27">
        <v>0</v>
      </c>
      <c r="J13" s="27">
        <v>0</v>
      </c>
      <c r="K13" s="27">
        <v>0</v>
      </c>
      <c r="L13" s="27">
        <v>0</v>
      </c>
      <c r="M13" s="27">
        <v>0</v>
      </c>
      <c r="N13" s="27">
        <v>0</v>
      </c>
      <c r="O13" s="27">
        <v>0</v>
      </c>
      <c r="P13" s="27">
        <v>0</v>
      </c>
      <c r="Q13" s="27">
        <v>0</v>
      </c>
      <c r="R13" s="27">
        <v>0</v>
      </c>
      <c r="S13" s="27">
        <v>0</v>
      </c>
      <c r="T13" s="27">
        <v>0</v>
      </c>
      <c r="U13" s="27">
        <v>0</v>
      </c>
      <c r="V13" s="27">
        <v>0</v>
      </c>
      <c r="W13" s="33">
        <f t="shared" si="0"/>
        <v>2</v>
      </c>
    </row>
    <row r="14" spans="1:23" ht="15.75">
      <c r="A14" s="32" t="s">
        <v>21</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33">
        <f t="shared" si="0"/>
        <v>0</v>
      </c>
    </row>
    <row r="15" spans="1:23" ht="15.75">
      <c r="A15" s="32" t="s">
        <v>22</v>
      </c>
      <c r="B15" s="27">
        <v>0</v>
      </c>
      <c r="C15" s="27">
        <v>0</v>
      </c>
      <c r="D15" s="27">
        <v>0</v>
      </c>
      <c r="E15" s="27">
        <v>0</v>
      </c>
      <c r="F15" s="27">
        <v>0</v>
      </c>
      <c r="G15" s="27">
        <v>0</v>
      </c>
      <c r="H15" s="27">
        <v>0</v>
      </c>
      <c r="I15" s="27">
        <v>0</v>
      </c>
      <c r="J15" s="27">
        <v>0</v>
      </c>
      <c r="K15" s="27">
        <v>0</v>
      </c>
      <c r="L15" s="27">
        <v>0</v>
      </c>
      <c r="M15" s="27">
        <v>0</v>
      </c>
      <c r="N15" s="27">
        <v>0</v>
      </c>
      <c r="O15" s="27">
        <v>0</v>
      </c>
      <c r="P15" s="27">
        <v>0</v>
      </c>
      <c r="Q15" s="27">
        <v>0</v>
      </c>
      <c r="R15" s="27">
        <v>0</v>
      </c>
      <c r="S15" s="27">
        <v>0</v>
      </c>
      <c r="T15" s="27">
        <v>0</v>
      </c>
      <c r="U15" s="27">
        <v>0</v>
      </c>
      <c r="V15" s="27">
        <v>0</v>
      </c>
      <c r="W15" s="33">
        <f>SUM(B15:V15)</f>
        <v>0</v>
      </c>
    </row>
    <row r="16" spans="1:23" ht="15.75">
      <c r="A16" s="32" t="s">
        <v>23</v>
      </c>
      <c r="B16" s="27">
        <v>0</v>
      </c>
      <c r="C16" s="27">
        <v>0</v>
      </c>
      <c r="D16" s="27">
        <v>0</v>
      </c>
      <c r="E16" s="27">
        <v>1</v>
      </c>
      <c r="F16" s="27">
        <v>1</v>
      </c>
      <c r="G16" s="27">
        <v>1</v>
      </c>
      <c r="H16" s="27">
        <v>0</v>
      </c>
      <c r="I16" s="27">
        <v>1</v>
      </c>
      <c r="J16" s="27">
        <v>1</v>
      </c>
      <c r="K16" s="27">
        <v>0</v>
      </c>
      <c r="L16" s="27">
        <v>0</v>
      </c>
      <c r="M16" s="27">
        <v>0</v>
      </c>
      <c r="N16" s="27">
        <v>0</v>
      </c>
      <c r="O16" s="27">
        <v>0</v>
      </c>
      <c r="P16" s="27">
        <v>0</v>
      </c>
      <c r="Q16" s="27">
        <v>0</v>
      </c>
      <c r="R16" s="27">
        <v>0</v>
      </c>
      <c r="S16" s="27">
        <v>0</v>
      </c>
      <c r="T16" s="27">
        <v>0</v>
      </c>
      <c r="U16" s="27">
        <v>0</v>
      </c>
      <c r="V16" s="27">
        <v>0</v>
      </c>
      <c r="W16" s="36">
        <f t="shared" si="0"/>
        <v>5</v>
      </c>
    </row>
    <row r="17" spans="1:23" ht="15.75">
      <c r="A17" s="32" t="s">
        <v>24</v>
      </c>
      <c r="B17" s="27">
        <v>0</v>
      </c>
      <c r="C17" s="27">
        <v>0</v>
      </c>
      <c r="D17" s="27">
        <v>0</v>
      </c>
      <c r="E17" s="27">
        <v>1</v>
      </c>
      <c r="F17" s="27">
        <v>0</v>
      </c>
      <c r="G17" s="27">
        <v>0</v>
      </c>
      <c r="H17" s="27">
        <v>0</v>
      </c>
      <c r="I17" s="27">
        <v>0</v>
      </c>
      <c r="J17" s="27">
        <v>0</v>
      </c>
      <c r="K17" s="27">
        <v>0</v>
      </c>
      <c r="L17" s="27">
        <v>0</v>
      </c>
      <c r="M17" s="27">
        <v>0</v>
      </c>
      <c r="N17" s="27">
        <v>0</v>
      </c>
      <c r="O17" s="27">
        <v>0</v>
      </c>
      <c r="P17" s="27">
        <v>0</v>
      </c>
      <c r="Q17" s="27">
        <v>0</v>
      </c>
      <c r="R17" s="27">
        <v>0</v>
      </c>
      <c r="S17" s="27">
        <v>0</v>
      </c>
      <c r="T17" s="27">
        <v>0</v>
      </c>
      <c r="U17" s="27">
        <v>0</v>
      </c>
      <c r="V17" s="27">
        <v>0</v>
      </c>
      <c r="W17" s="33">
        <f t="shared" si="0"/>
        <v>1</v>
      </c>
    </row>
    <row r="18" spans="1:23" ht="15.75">
      <c r="A18" s="32" t="s">
        <v>31</v>
      </c>
      <c r="B18" s="27">
        <v>0</v>
      </c>
      <c r="C18" s="27">
        <v>0</v>
      </c>
      <c r="D18" s="27">
        <v>0</v>
      </c>
      <c r="E18" s="27">
        <v>1</v>
      </c>
      <c r="F18" s="27">
        <v>0</v>
      </c>
      <c r="G18" s="27">
        <v>0</v>
      </c>
      <c r="H18" s="27">
        <v>0</v>
      </c>
      <c r="I18" s="27">
        <v>0</v>
      </c>
      <c r="J18" s="27">
        <v>0</v>
      </c>
      <c r="K18" s="27">
        <v>0</v>
      </c>
      <c r="L18" s="27">
        <v>0</v>
      </c>
      <c r="M18" s="27">
        <v>0</v>
      </c>
      <c r="N18" s="27">
        <v>0</v>
      </c>
      <c r="O18" s="27">
        <v>0</v>
      </c>
      <c r="P18" s="27">
        <v>0</v>
      </c>
      <c r="Q18" s="27">
        <v>0</v>
      </c>
      <c r="R18" s="27">
        <v>0</v>
      </c>
      <c r="S18" s="27">
        <v>0</v>
      </c>
      <c r="T18" s="27">
        <v>0</v>
      </c>
      <c r="U18" s="27">
        <v>0</v>
      </c>
      <c r="V18" s="27">
        <v>0</v>
      </c>
      <c r="W18" s="33">
        <f t="shared" si="0"/>
        <v>1</v>
      </c>
    </row>
    <row r="19" spans="1:23" ht="15.75">
      <c r="A19" s="32" t="s">
        <v>25</v>
      </c>
      <c r="B19" s="27">
        <v>0</v>
      </c>
      <c r="C19" s="27">
        <v>0</v>
      </c>
      <c r="D19" s="27">
        <v>0</v>
      </c>
      <c r="E19" s="27">
        <v>1</v>
      </c>
      <c r="F19" s="27">
        <v>0</v>
      </c>
      <c r="G19" s="27">
        <v>0</v>
      </c>
      <c r="H19" s="27">
        <v>0</v>
      </c>
      <c r="I19" s="27">
        <v>0</v>
      </c>
      <c r="J19" s="27">
        <v>0</v>
      </c>
      <c r="K19" s="27">
        <v>0</v>
      </c>
      <c r="L19" s="27">
        <v>0</v>
      </c>
      <c r="M19" s="27">
        <v>0</v>
      </c>
      <c r="N19" s="27">
        <v>0</v>
      </c>
      <c r="O19" s="27">
        <v>0</v>
      </c>
      <c r="P19" s="27">
        <v>0</v>
      </c>
      <c r="Q19" s="27">
        <v>0</v>
      </c>
      <c r="R19" s="27">
        <v>0</v>
      </c>
      <c r="S19" s="27">
        <v>0</v>
      </c>
      <c r="T19" s="27">
        <v>0</v>
      </c>
      <c r="U19" s="27">
        <v>0</v>
      </c>
      <c r="V19" s="27">
        <v>0</v>
      </c>
      <c r="W19" s="33">
        <f t="shared" si="0"/>
        <v>1</v>
      </c>
    </row>
    <row r="20" spans="1:23" ht="15.75">
      <c r="A20" s="32" t="s">
        <v>26</v>
      </c>
      <c r="B20" s="27">
        <v>0</v>
      </c>
      <c r="C20" s="27">
        <v>0</v>
      </c>
      <c r="D20" s="27">
        <v>1</v>
      </c>
      <c r="E20" s="27">
        <v>0</v>
      </c>
      <c r="F20" s="27">
        <v>0</v>
      </c>
      <c r="G20" s="27">
        <v>0</v>
      </c>
      <c r="H20" s="27">
        <v>0</v>
      </c>
      <c r="I20" s="27">
        <v>0</v>
      </c>
      <c r="J20" s="27">
        <v>0</v>
      </c>
      <c r="K20" s="27">
        <v>0</v>
      </c>
      <c r="L20" s="27">
        <v>0</v>
      </c>
      <c r="M20" s="27">
        <v>0</v>
      </c>
      <c r="N20" s="27">
        <v>0</v>
      </c>
      <c r="O20" s="27">
        <v>1</v>
      </c>
      <c r="P20" s="27">
        <v>0</v>
      </c>
      <c r="Q20" s="27">
        <v>1</v>
      </c>
      <c r="R20" s="27">
        <v>0</v>
      </c>
      <c r="S20" s="27">
        <v>0</v>
      </c>
      <c r="T20" s="27">
        <v>0</v>
      </c>
      <c r="U20" s="27">
        <v>0</v>
      </c>
      <c r="V20" s="27">
        <v>0</v>
      </c>
      <c r="W20" s="33">
        <f t="shared" si="0"/>
        <v>3</v>
      </c>
    </row>
    <row r="21" spans="1:23" ht="15.75">
      <c r="A21" s="32" t="s">
        <v>54</v>
      </c>
      <c r="B21" s="27">
        <v>0</v>
      </c>
      <c r="C21" s="27">
        <v>0</v>
      </c>
      <c r="D21" s="27">
        <v>0</v>
      </c>
      <c r="E21" s="27">
        <v>0</v>
      </c>
      <c r="F21" s="27">
        <v>0</v>
      </c>
      <c r="G21" s="27">
        <v>0</v>
      </c>
      <c r="H21" s="27">
        <v>0</v>
      </c>
      <c r="I21" s="27">
        <v>0</v>
      </c>
      <c r="J21" s="27">
        <v>0</v>
      </c>
      <c r="K21" s="27">
        <v>0</v>
      </c>
      <c r="L21" s="27">
        <v>0</v>
      </c>
      <c r="M21" s="27">
        <v>0</v>
      </c>
      <c r="N21" s="27">
        <v>0</v>
      </c>
      <c r="O21" s="27">
        <v>0</v>
      </c>
      <c r="P21" s="27">
        <v>0</v>
      </c>
      <c r="Q21" s="27">
        <v>0</v>
      </c>
      <c r="R21" s="27">
        <v>0</v>
      </c>
      <c r="S21" s="27">
        <v>0</v>
      </c>
      <c r="T21" s="27">
        <v>0</v>
      </c>
      <c r="U21" s="27">
        <v>0</v>
      </c>
      <c r="V21" s="27">
        <v>0</v>
      </c>
      <c r="W21" s="33">
        <f t="shared" si="0"/>
        <v>0</v>
      </c>
    </row>
    <row r="22" spans="1:23" ht="15.75">
      <c r="A22" s="32" t="s">
        <v>55</v>
      </c>
      <c r="B22" s="27">
        <v>1</v>
      </c>
      <c r="C22" s="27">
        <v>1</v>
      </c>
      <c r="D22" s="27">
        <v>0</v>
      </c>
      <c r="E22" s="27">
        <v>1</v>
      </c>
      <c r="F22" s="27">
        <v>1</v>
      </c>
      <c r="G22" s="27">
        <v>1</v>
      </c>
      <c r="H22" s="27">
        <v>0</v>
      </c>
      <c r="I22" s="27">
        <v>1</v>
      </c>
      <c r="J22" s="27">
        <v>0</v>
      </c>
      <c r="K22" s="27">
        <v>0</v>
      </c>
      <c r="L22" s="27">
        <v>0</v>
      </c>
      <c r="M22" s="27">
        <v>1</v>
      </c>
      <c r="N22" s="27">
        <v>0</v>
      </c>
      <c r="O22" s="27">
        <v>0</v>
      </c>
      <c r="P22" s="27">
        <v>0</v>
      </c>
      <c r="Q22" s="27">
        <v>1</v>
      </c>
      <c r="R22" s="27">
        <v>1</v>
      </c>
      <c r="S22" s="27">
        <v>1</v>
      </c>
      <c r="T22" s="27">
        <v>0</v>
      </c>
      <c r="U22" s="27">
        <v>0</v>
      </c>
      <c r="V22" s="27">
        <v>0</v>
      </c>
      <c r="W22" s="36">
        <f t="shared" si="0"/>
        <v>10</v>
      </c>
    </row>
    <row r="23" spans="1:23" ht="15.75" customHeight="1">
      <c r="A23" s="32" t="s">
        <v>56</v>
      </c>
      <c r="B23" s="27">
        <v>0</v>
      </c>
      <c r="C23" s="27">
        <v>0</v>
      </c>
      <c r="D23" s="27">
        <v>0</v>
      </c>
      <c r="E23" s="27">
        <v>0</v>
      </c>
      <c r="F23" s="27">
        <v>0</v>
      </c>
      <c r="G23" s="27">
        <v>0</v>
      </c>
      <c r="H23" s="27">
        <v>0</v>
      </c>
      <c r="I23" s="27">
        <v>1</v>
      </c>
      <c r="J23" s="27">
        <v>0</v>
      </c>
      <c r="K23" s="27">
        <v>0</v>
      </c>
      <c r="L23" s="27">
        <v>0</v>
      </c>
      <c r="M23" s="27">
        <v>0</v>
      </c>
      <c r="N23" s="27">
        <v>0</v>
      </c>
      <c r="O23" s="27">
        <v>0</v>
      </c>
      <c r="P23" s="27">
        <v>0</v>
      </c>
      <c r="Q23" s="27">
        <v>0</v>
      </c>
      <c r="R23" s="27">
        <v>0</v>
      </c>
      <c r="S23" s="27">
        <v>0</v>
      </c>
      <c r="T23" s="27">
        <v>0</v>
      </c>
      <c r="U23" s="27">
        <v>0</v>
      </c>
      <c r="V23" s="27">
        <v>0</v>
      </c>
      <c r="W23" s="33">
        <f t="shared" si="0"/>
        <v>1</v>
      </c>
    </row>
    <row r="24" spans="1:23" ht="15.75" customHeight="1">
      <c r="A24" s="32" t="s">
        <v>58</v>
      </c>
      <c r="B24" s="27">
        <v>0</v>
      </c>
      <c r="C24" s="27">
        <v>0</v>
      </c>
      <c r="D24" s="27">
        <v>0</v>
      </c>
      <c r="E24" s="27">
        <v>1</v>
      </c>
      <c r="F24" s="27">
        <v>1</v>
      </c>
      <c r="G24" s="27">
        <v>1</v>
      </c>
      <c r="H24" s="27">
        <v>0</v>
      </c>
      <c r="I24" s="27">
        <v>1</v>
      </c>
      <c r="J24" s="27">
        <v>1</v>
      </c>
      <c r="K24" s="27">
        <v>0</v>
      </c>
      <c r="L24" s="27">
        <v>0</v>
      </c>
      <c r="M24" s="27">
        <v>0</v>
      </c>
      <c r="N24" s="27">
        <v>0</v>
      </c>
      <c r="O24" s="27">
        <v>0</v>
      </c>
      <c r="P24" s="27">
        <v>0</v>
      </c>
      <c r="Q24" s="27">
        <v>0</v>
      </c>
      <c r="R24" s="27">
        <v>0</v>
      </c>
      <c r="S24" s="27">
        <v>0</v>
      </c>
      <c r="T24" s="27">
        <v>0</v>
      </c>
      <c r="U24" s="27">
        <v>0</v>
      </c>
      <c r="V24" s="27">
        <v>0</v>
      </c>
      <c r="W24" s="36">
        <f t="shared" si="0"/>
        <v>5</v>
      </c>
    </row>
    <row r="25" spans="1:23" ht="15.75" customHeight="1">
      <c r="A25" s="32" t="s">
        <v>57</v>
      </c>
      <c r="B25" s="27">
        <v>0</v>
      </c>
      <c r="C25" s="27">
        <v>0</v>
      </c>
      <c r="D25" s="27">
        <v>0</v>
      </c>
      <c r="E25" s="27">
        <v>1</v>
      </c>
      <c r="F25" s="27">
        <v>0</v>
      </c>
      <c r="G25" s="27">
        <v>0</v>
      </c>
      <c r="H25" s="27">
        <v>0</v>
      </c>
      <c r="I25" s="27">
        <v>0</v>
      </c>
      <c r="J25" s="27">
        <v>0</v>
      </c>
      <c r="K25" s="27">
        <v>0</v>
      </c>
      <c r="L25" s="27">
        <v>0</v>
      </c>
      <c r="M25" s="27">
        <v>0</v>
      </c>
      <c r="N25" s="27">
        <v>0</v>
      </c>
      <c r="O25" s="27">
        <v>1</v>
      </c>
      <c r="P25" s="27">
        <v>0</v>
      </c>
      <c r="Q25" s="27">
        <v>1</v>
      </c>
      <c r="R25" s="27">
        <v>1</v>
      </c>
      <c r="S25" s="27">
        <v>0</v>
      </c>
      <c r="T25" s="27">
        <v>0</v>
      </c>
      <c r="U25" s="27">
        <v>0</v>
      </c>
      <c r="V25" s="27">
        <v>0</v>
      </c>
      <c r="W25" s="33">
        <f t="shared" si="0"/>
        <v>4</v>
      </c>
    </row>
    <row r="26" spans="1:23" ht="15.75" customHeight="1">
      <c r="A26" s="32" t="s">
        <v>59</v>
      </c>
      <c r="B26" s="27">
        <v>0</v>
      </c>
      <c r="C26" s="27">
        <v>0</v>
      </c>
      <c r="D26" s="27">
        <v>0</v>
      </c>
      <c r="E26" s="27">
        <v>0</v>
      </c>
      <c r="F26" s="27">
        <v>0</v>
      </c>
      <c r="G26" s="27">
        <v>0</v>
      </c>
      <c r="H26" s="27">
        <v>0</v>
      </c>
      <c r="I26" s="27">
        <v>0</v>
      </c>
      <c r="J26" s="27">
        <v>0</v>
      </c>
      <c r="K26" s="27">
        <v>0</v>
      </c>
      <c r="L26" s="27">
        <v>0</v>
      </c>
      <c r="M26" s="27">
        <v>0</v>
      </c>
      <c r="N26" s="27">
        <v>0</v>
      </c>
      <c r="O26" s="27">
        <v>0</v>
      </c>
      <c r="P26" s="27">
        <v>0</v>
      </c>
      <c r="Q26" s="27">
        <v>0</v>
      </c>
      <c r="R26" s="27">
        <v>0</v>
      </c>
      <c r="S26" s="27">
        <v>0</v>
      </c>
      <c r="T26" s="27">
        <v>0</v>
      </c>
      <c r="U26" s="27">
        <v>0</v>
      </c>
      <c r="V26" s="27">
        <v>0</v>
      </c>
      <c r="W26" s="33">
        <f t="shared" si="0"/>
        <v>0</v>
      </c>
    </row>
    <row r="27" spans="1:23" ht="15.75" customHeight="1">
      <c r="A27" s="32" t="s">
        <v>60</v>
      </c>
      <c r="B27" s="27">
        <v>0</v>
      </c>
      <c r="C27" s="27">
        <v>0</v>
      </c>
      <c r="D27" s="27">
        <v>0</v>
      </c>
      <c r="E27" s="27">
        <v>1</v>
      </c>
      <c r="F27" s="27">
        <v>0</v>
      </c>
      <c r="G27" s="27">
        <v>0</v>
      </c>
      <c r="H27" s="27">
        <v>0</v>
      </c>
      <c r="I27" s="27">
        <v>0</v>
      </c>
      <c r="J27" s="27">
        <v>0</v>
      </c>
      <c r="K27" s="27">
        <v>0</v>
      </c>
      <c r="L27" s="27">
        <v>0</v>
      </c>
      <c r="M27" s="27">
        <v>0</v>
      </c>
      <c r="N27" s="27">
        <v>0</v>
      </c>
      <c r="O27" s="27">
        <v>0</v>
      </c>
      <c r="P27" s="27">
        <v>0</v>
      </c>
      <c r="Q27" s="27">
        <v>0</v>
      </c>
      <c r="R27" s="27">
        <v>0</v>
      </c>
      <c r="S27" s="27">
        <v>0</v>
      </c>
      <c r="T27" s="27">
        <v>0</v>
      </c>
      <c r="U27" s="27">
        <v>0</v>
      </c>
      <c r="V27" s="27">
        <v>0</v>
      </c>
      <c r="W27" s="33">
        <f t="shared" si="0"/>
        <v>1</v>
      </c>
    </row>
    <row r="28" spans="1:23" ht="15.75" customHeight="1">
      <c r="A28" s="32" t="s">
        <v>61</v>
      </c>
      <c r="B28" s="27">
        <v>0</v>
      </c>
      <c r="C28" s="27">
        <v>0</v>
      </c>
      <c r="D28" s="27">
        <v>0</v>
      </c>
      <c r="E28" s="27">
        <v>0</v>
      </c>
      <c r="F28" s="27">
        <v>0</v>
      </c>
      <c r="G28" s="27">
        <v>0</v>
      </c>
      <c r="H28" s="27">
        <v>0</v>
      </c>
      <c r="I28" s="27">
        <v>0</v>
      </c>
      <c r="J28" s="27">
        <v>0</v>
      </c>
      <c r="K28" s="27">
        <v>0</v>
      </c>
      <c r="L28" s="27">
        <v>0</v>
      </c>
      <c r="M28" s="27">
        <v>0</v>
      </c>
      <c r="N28" s="27">
        <v>0</v>
      </c>
      <c r="O28" s="27">
        <v>0</v>
      </c>
      <c r="P28" s="27">
        <v>0</v>
      </c>
      <c r="Q28" s="27">
        <v>0</v>
      </c>
      <c r="R28" s="27">
        <v>0</v>
      </c>
      <c r="S28" s="27">
        <v>0</v>
      </c>
      <c r="T28" s="27">
        <v>0</v>
      </c>
      <c r="U28" s="27">
        <v>0</v>
      </c>
      <c r="V28" s="27">
        <v>0</v>
      </c>
      <c r="W28" s="33">
        <f t="shared" si="0"/>
        <v>0</v>
      </c>
    </row>
    <row r="29" spans="1:23" ht="15.75" customHeight="1">
      <c r="A29" s="32" t="s">
        <v>62</v>
      </c>
      <c r="B29" s="27">
        <v>0</v>
      </c>
      <c r="C29" s="27">
        <v>0</v>
      </c>
      <c r="D29" s="27">
        <v>0</v>
      </c>
      <c r="E29" s="27">
        <v>0</v>
      </c>
      <c r="F29" s="27">
        <v>0</v>
      </c>
      <c r="G29" s="27">
        <v>0</v>
      </c>
      <c r="H29" s="27">
        <v>0</v>
      </c>
      <c r="I29" s="27">
        <v>0</v>
      </c>
      <c r="J29" s="27">
        <v>0</v>
      </c>
      <c r="K29" s="27">
        <v>0</v>
      </c>
      <c r="L29" s="27">
        <v>0</v>
      </c>
      <c r="M29" s="27">
        <v>0</v>
      </c>
      <c r="N29" s="27">
        <v>0</v>
      </c>
      <c r="O29" s="27">
        <v>0</v>
      </c>
      <c r="P29" s="27">
        <v>0</v>
      </c>
      <c r="Q29" s="27">
        <v>0</v>
      </c>
      <c r="R29" s="27">
        <v>0</v>
      </c>
      <c r="S29" s="27">
        <v>0</v>
      </c>
      <c r="T29" s="27">
        <v>0</v>
      </c>
      <c r="U29" s="27">
        <v>0</v>
      </c>
      <c r="V29" s="27">
        <v>0</v>
      </c>
      <c r="W29" s="33">
        <f t="shared" si="0"/>
        <v>0</v>
      </c>
    </row>
    <row r="30" spans="1:23" ht="15.75" customHeight="1">
      <c r="A30" s="32" t="s">
        <v>63</v>
      </c>
      <c r="B30" s="27">
        <v>0</v>
      </c>
      <c r="C30" s="27">
        <v>0</v>
      </c>
      <c r="D30" s="27">
        <v>0</v>
      </c>
      <c r="E30" s="27">
        <v>1</v>
      </c>
      <c r="F30" s="27">
        <v>0</v>
      </c>
      <c r="G30" s="27">
        <v>0</v>
      </c>
      <c r="H30" s="27">
        <v>0</v>
      </c>
      <c r="I30" s="27">
        <v>1</v>
      </c>
      <c r="J30" s="27">
        <v>0</v>
      </c>
      <c r="K30" s="27">
        <v>0</v>
      </c>
      <c r="L30" s="27">
        <v>0</v>
      </c>
      <c r="M30" s="27">
        <v>0</v>
      </c>
      <c r="N30" s="27">
        <v>0</v>
      </c>
      <c r="O30" s="27">
        <v>0</v>
      </c>
      <c r="P30" s="27">
        <v>0</v>
      </c>
      <c r="Q30" s="27">
        <v>0</v>
      </c>
      <c r="R30" s="27">
        <v>1</v>
      </c>
      <c r="S30" s="27">
        <v>0</v>
      </c>
      <c r="T30" s="27">
        <v>0</v>
      </c>
      <c r="U30" s="27">
        <v>0</v>
      </c>
      <c r="V30" s="27">
        <v>0</v>
      </c>
      <c r="W30" s="33">
        <f t="shared" si="0"/>
        <v>3</v>
      </c>
    </row>
    <row r="31" spans="1:23" ht="15.75" customHeight="1">
      <c r="A31" s="32" t="s">
        <v>64</v>
      </c>
      <c r="B31" s="27">
        <v>0</v>
      </c>
      <c r="C31" s="27">
        <v>0</v>
      </c>
      <c r="D31" s="27">
        <v>0</v>
      </c>
      <c r="E31" s="27">
        <v>1</v>
      </c>
      <c r="F31" s="27">
        <v>1</v>
      </c>
      <c r="G31" s="27">
        <v>1</v>
      </c>
      <c r="H31" s="27">
        <v>0</v>
      </c>
      <c r="I31" s="27">
        <v>1</v>
      </c>
      <c r="J31" s="27">
        <v>0</v>
      </c>
      <c r="K31" s="27">
        <v>0</v>
      </c>
      <c r="L31" s="27">
        <v>0</v>
      </c>
      <c r="M31" s="27">
        <v>0</v>
      </c>
      <c r="N31" s="27">
        <v>0</v>
      </c>
      <c r="O31" s="27">
        <v>0</v>
      </c>
      <c r="P31" s="27">
        <v>0</v>
      </c>
      <c r="Q31" s="27">
        <v>0</v>
      </c>
      <c r="R31" s="27">
        <v>0</v>
      </c>
      <c r="S31" s="27">
        <v>0</v>
      </c>
      <c r="T31" s="27">
        <v>0</v>
      </c>
      <c r="U31" s="27">
        <v>0</v>
      </c>
      <c r="V31" s="27">
        <v>0</v>
      </c>
      <c r="W31" s="33">
        <f t="shared" si="0"/>
        <v>4</v>
      </c>
    </row>
    <row r="32" spans="1:23" ht="15.75" customHeight="1">
      <c r="A32" s="32" t="s">
        <v>65</v>
      </c>
      <c r="B32" s="27">
        <v>0</v>
      </c>
      <c r="C32" s="27">
        <v>0</v>
      </c>
      <c r="D32" s="27">
        <v>0</v>
      </c>
      <c r="E32" s="27">
        <v>1</v>
      </c>
      <c r="F32" s="27">
        <v>0</v>
      </c>
      <c r="G32" s="27">
        <v>0</v>
      </c>
      <c r="H32" s="27">
        <v>0</v>
      </c>
      <c r="I32" s="27">
        <v>0</v>
      </c>
      <c r="J32" s="27">
        <v>0</v>
      </c>
      <c r="K32" s="27">
        <v>0</v>
      </c>
      <c r="L32" s="27">
        <v>0</v>
      </c>
      <c r="M32" s="27">
        <v>1</v>
      </c>
      <c r="N32" s="27">
        <v>0</v>
      </c>
      <c r="O32" s="27">
        <v>0</v>
      </c>
      <c r="P32" s="27">
        <v>0</v>
      </c>
      <c r="Q32" s="27">
        <v>0</v>
      </c>
      <c r="R32" s="27">
        <v>0</v>
      </c>
      <c r="S32" s="27">
        <v>0</v>
      </c>
      <c r="T32" s="27">
        <v>0</v>
      </c>
      <c r="U32" s="27">
        <v>0</v>
      </c>
      <c r="V32" s="27">
        <v>0</v>
      </c>
      <c r="W32" s="33">
        <f t="shared" si="0"/>
        <v>2</v>
      </c>
    </row>
    <row r="33" spans="1:26" ht="15.75" customHeight="1">
      <c r="A33" s="32" t="s">
        <v>66</v>
      </c>
      <c r="B33" s="27">
        <v>0</v>
      </c>
      <c r="C33" s="27">
        <v>0</v>
      </c>
      <c r="D33" s="27">
        <v>0</v>
      </c>
      <c r="E33" s="27">
        <v>1</v>
      </c>
      <c r="F33" s="27">
        <v>0</v>
      </c>
      <c r="G33" s="27">
        <v>0</v>
      </c>
      <c r="H33" s="27">
        <v>0</v>
      </c>
      <c r="I33" s="27">
        <v>0</v>
      </c>
      <c r="J33" s="27">
        <v>0</v>
      </c>
      <c r="K33" s="27">
        <v>0</v>
      </c>
      <c r="L33" s="27">
        <v>0</v>
      </c>
      <c r="M33" s="27">
        <v>0</v>
      </c>
      <c r="N33" s="27">
        <v>0</v>
      </c>
      <c r="O33" s="27">
        <v>0</v>
      </c>
      <c r="P33" s="27">
        <v>0</v>
      </c>
      <c r="Q33" s="27">
        <v>0</v>
      </c>
      <c r="R33" s="27">
        <v>0</v>
      </c>
      <c r="S33" s="27">
        <v>0</v>
      </c>
      <c r="T33" s="27">
        <v>0</v>
      </c>
      <c r="U33" s="27">
        <v>0</v>
      </c>
      <c r="V33" s="27">
        <v>0</v>
      </c>
      <c r="W33" s="33">
        <f t="shared" si="0"/>
        <v>1</v>
      </c>
    </row>
    <row r="34" spans="1:26" ht="15.75" customHeight="1">
      <c r="A34" s="32" t="s">
        <v>67</v>
      </c>
      <c r="B34" s="27">
        <v>0</v>
      </c>
      <c r="C34" s="27">
        <v>0</v>
      </c>
      <c r="D34" s="27">
        <v>0</v>
      </c>
      <c r="E34" s="27">
        <v>1</v>
      </c>
      <c r="F34" s="27">
        <v>1</v>
      </c>
      <c r="G34" s="27">
        <v>1</v>
      </c>
      <c r="H34" s="27">
        <v>0</v>
      </c>
      <c r="I34" s="27">
        <v>1</v>
      </c>
      <c r="J34" s="27">
        <v>1</v>
      </c>
      <c r="K34" s="27">
        <v>0</v>
      </c>
      <c r="L34" s="27">
        <v>0</v>
      </c>
      <c r="M34" s="27">
        <v>0</v>
      </c>
      <c r="N34" s="27">
        <v>0</v>
      </c>
      <c r="O34" s="27">
        <v>0</v>
      </c>
      <c r="P34" s="27">
        <v>0</v>
      </c>
      <c r="Q34" s="27">
        <v>0</v>
      </c>
      <c r="R34" s="27">
        <v>0</v>
      </c>
      <c r="S34" s="27">
        <v>0</v>
      </c>
      <c r="T34" s="27">
        <v>0</v>
      </c>
      <c r="U34" s="27">
        <v>0</v>
      </c>
      <c r="V34" s="27">
        <v>0</v>
      </c>
      <c r="W34" s="36">
        <f t="shared" si="0"/>
        <v>5</v>
      </c>
    </row>
    <row r="35" spans="1:26" ht="15.75" customHeight="1">
      <c r="A35" s="32" t="s">
        <v>68</v>
      </c>
      <c r="B35" s="27">
        <v>0</v>
      </c>
      <c r="C35" s="27">
        <v>0</v>
      </c>
      <c r="D35" s="27">
        <v>0</v>
      </c>
      <c r="E35" s="27">
        <v>0</v>
      </c>
      <c r="F35" s="27">
        <v>0</v>
      </c>
      <c r="G35" s="27">
        <v>0</v>
      </c>
      <c r="H35" s="27">
        <v>0</v>
      </c>
      <c r="I35" s="27">
        <v>0</v>
      </c>
      <c r="J35" s="27">
        <v>0</v>
      </c>
      <c r="K35" s="27">
        <v>0</v>
      </c>
      <c r="L35" s="27">
        <v>0</v>
      </c>
      <c r="M35" s="27">
        <v>0</v>
      </c>
      <c r="N35" s="27">
        <v>0</v>
      </c>
      <c r="O35" s="27">
        <v>0</v>
      </c>
      <c r="P35" s="27">
        <v>0</v>
      </c>
      <c r="Q35" s="27">
        <v>0</v>
      </c>
      <c r="R35" s="27">
        <v>0</v>
      </c>
      <c r="S35" s="27">
        <v>0</v>
      </c>
      <c r="T35" s="27">
        <v>0</v>
      </c>
      <c r="U35" s="27">
        <v>0</v>
      </c>
      <c r="V35" s="27">
        <v>0</v>
      </c>
      <c r="W35" s="33">
        <f t="shared" si="0"/>
        <v>0</v>
      </c>
    </row>
    <row r="36" spans="1:26" ht="15.75" customHeight="1">
      <c r="A36" s="32" t="s">
        <v>69</v>
      </c>
      <c r="B36" s="27">
        <v>0</v>
      </c>
      <c r="C36" s="27">
        <v>0</v>
      </c>
      <c r="D36" s="27">
        <v>0</v>
      </c>
      <c r="E36" s="27">
        <v>1</v>
      </c>
      <c r="F36" s="27">
        <v>0</v>
      </c>
      <c r="G36" s="27">
        <v>0</v>
      </c>
      <c r="H36" s="27">
        <v>0</v>
      </c>
      <c r="I36" s="27">
        <v>0</v>
      </c>
      <c r="J36" s="27">
        <v>0</v>
      </c>
      <c r="K36" s="27">
        <v>0</v>
      </c>
      <c r="L36" s="27">
        <v>0</v>
      </c>
      <c r="M36" s="27">
        <v>0</v>
      </c>
      <c r="N36" s="27">
        <v>0</v>
      </c>
      <c r="O36" s="27">
        <v>0</v>
      </c>
      <c r="P36" s="27">
        <v>0</v>
      </c>
      <c r="Q36" s="27">
        <v>0</v>
      </c>
      <c r="R36" s="27">
        <v>0</v>
      </c>
      <c r="S36" s="27">
        <v>0</v>
      </c>
      <c r="T36" s="27">
        <v>0</v>
      </c>
      <c r="U36" s="27">
        <v>0</v>
      </c>
      <c r="V36" s="27">
        <v>0</v>
      </c>
      <c r="W36" s="33">
        <f t="shared" si="0"/>
        <v>1</v>
      </c>
    </row>
    <row r="37" spans="1:26" ht="15.75" customHeight="1">
      <c r="A37" s="32" t="s">
        <v>70</v>
      </c>
      <c r="B37" s="27">
        <v>0</v>
      </c>
      <c r="C37" s="27">
        <v>1</v>
      </c>
      <c r="D37" s="27">
        <v>0</v>
      </c>
      <c r="E37" s="27">
        <v>1</v>
      </c>
      <c r="F37" s="27">
        <v>0</v>
      </c>
      <c r="G37" s="27">
        <v>0</v>
      </c>
      <c r="H37" s="27">
        <v>0</v>
      </c>
      <c r="I37" s="27">
        <v>0</v>
      </c>
      <c r="J37" s="27">
        <v>0</v>
      </c>
      <c r="K37" s="27">
        <v>0</v>
      </c>
      <c r="L37" s="27">
        <v>0</v>
      </c>
      <c r="M37" s="27">
        <v>1</v>
      </c>
      <c r="N37" s="27">
        <v>0</v>
      </c>
      <c r="O37" s="27">
        <v>0</v>
      </c>
      <c r="P37" s="27">
        <v>0</v>
      </c>
      <c r="Q37" s="27">
        <v>0</v>
      </c>
      <c r="R37" s="27">
        <v>0</v>
      </c>
      <c r="S37" s="27">
        <v>0</v>
      </c>
      <c r="T37" s="27">
        <v>0</v>
      </c>
      <c r="U37" s="27">
        <v>0</v>
      </c>
      <c r="V37" s="27">
        <v>0</v>
      </c>
      <c r="W37" s="33">
        <f t="shared" si="0"/>
        <v>3</v>
      </c>
    </row>
    <row r="38" spans="1:26" ht="15.75" customHeight="1">
      <c r="A38" s="32" t="s">
        <v>71</v>
      </c>
      <c r="B38" s="27">
        <v>0</v>
      </c>
      <c r="C38" s="27">
        <v>0</v>
      </c>
      <c r="D38" s="27">
        <v>0</v>
      </c>
      <c r="E38" s="27">
        <v>1</v>
      </c>
      <c r="F38" s="27">
        <v>0</v>
      </c>
      <c r="G38" s="27">
        <v>0</v>
      </c>
      <c r="H38" s="27">
        <v>0</v>
      </c>
      <c r="I38" s="27">
        <v>0</v>
      </c>
      <c r="J38" s="27">
        <v>0</v>
      </c>
      <c r="K38" s="27">
        <v>0</v>
      </c>
      <c r="L38" s="27">
        <v>0</v>
      </c>
      <c r="M38" s="27">
        <v>1</v>
      </c>
      <c r="N38" s="27">
        <v>0</v>
      </c>
      <c r="O38" s="27">
        <v>0</v>
      </c>
      <c r="P38" s="27">
        <v>0</v>
      </c>
      <c r="Q38" s="27">
        <v>0</v>
      </c>
      <c r="R38" s="27">
        <v>0</v>
      </c>
      <c r="S38" s="27">
        <v>0</v>
      </c>
      <c r="T38" s="27">
        <v>0</v>
      </c>
      <c r="U38" s="27">
        <v>0</v>
      </c>
      <c r="V38" s="27">
        <v>0</v>
      </c>
      <c r="W38" s="33">
        <f t="shared" si="0"/>
        <v>2</v>
      </c>
    </row>
    <row r="39" spans="1:26" ht="15.75" customHeight="1">
      <c r="A39" s="34" t="s">
        <v>123</v>
      </c>
      <c r="B39" s="35">
        <f>AVERAGE(B3:B38)</f>
        <v>5.5555555555555552E-2</v>
      </c>
      <c r="C39" s="35">
        <f>AVERAGE(C3:C38)</f>
        <v>0.19444444444444445</v>
      </c>
      <c r="D39" s="35">
        <f>AVERAGE(D3:D38)</f>
        <v>8.3333333333333329E-2</v>
      </c>
      <c r="E39" s="35">
        <f>AVERAGE(E3:E38)</f>
        <v>0.61111111111111116</v>
      </c>
      <c r="F39" s="35">
        <f>AVERAGE(F3:F38)</f>
        <v>0.16666666666666666</v>
      </c>
      <c r="G39" s="35">
        <f>AVERAGE(G3:G38)</f>
        <v>0.16666666666666666</v>
      </c>
      <c r="H39" s="35">
        <f>AVERAGE(H3:H38)</f>
        <v>0</v>
      </c>
      <c r="I39" s="35">
        <f>AVERAGE(I3:I38)</f>
        <v>0.22222222222222221</v>
      </c>
      <c r="J39" s="35">
        <f>AVERAGE(J3:J38)</f>
        <v>8.3333333333333329E-2</v>
      </c>
      <c r="K39" s="35">
        <f>AVERAGE(K3:K38)</f>
        <v>0</v>
      </c>
      <c r="L39" s="35">
        <f>AVERAGE(L3:L38)</f>
        <v>0</v>
      </c>
      <c r="M39" s="35">
        <f>AVERAGE(M3:M38)</f>
        <v>0.19444444444444445</v>
      </c>
      <c r="N39" s="35">
        <f>AVERAGE(N3:N38)</f>
        <v>0</v>
      </c>
      <c r="O39" s="35">
        <f>AVERAGE(O3:O38)</f>
        <v>5.5555555555555552E-2</v>
      </c>
      <c r="P39" s="35">
        <f>AVERAGE(P3:P38)</f>
        <v>0</v>
      </c>
      <c r="Q39" s="35">
        <f>AVERAGE(Q3:Q38)</f>
        <v>8.3333333333333329E-2</v>
      </c>
      <c r="R39" s="35">
        <f>AVERAGE(R3:R38)</f>
        <v>0.1111111111111111</v>
      </c>
      <c r="S39" s="35">
        <f>AVERAGE(S3:S38)</f>
        <v>2.7777777777777776E-2</v>
      </c>
      <c r="T39" s="35">
        <f>AVERAGE(T3:T38)</f>
        <v>0</v>
      </c>
      <c r="U39" s="35">
        <f>AVERAGE(U3:U38)</f>
        <v>8.3333333333333329E-2</v>
      </c>
      <c r="V39" s="35">
        <f>AVERAGE(V3:V38)</f>
        <v>0</v>
      </c>
      <c r="W39" s="35">
        <f>AVERAGE(W3:W38)</f>
        <v>2.1388888888888888</v>
      </c>
      <c r="Z39">
        <f>COUNTIF(W3:W38,0)</f>
        <v>12</v>
      </c>
    </row>
    <row r="40" spans="1:26" ht="15.75" customHeight="1"/>
    <row r="41" spans="1:26" ht="15.75" customHeight="1"/>
    <row r="42" spans="1:26" ht="15.75" customHeight="1">
      <c r="A42" s="8"/>
    </row>
    <row r="43" spans="1:26" ht="15.75" customHeight="1">
      <c r="A43" s="8"/>
    </row>
    <row r="44" spans="1:26" ht="15.75" customHeight="1">
      <c r="A44" s="8"/>
    </row>
    <row r="45" spans="1:26" ht="15.75" customHeight="1">
      <c r="A45" s="8"/>
    </row>
    <row r="46" spans="1:26" ht="15.75" customHeight="1">
      <c r="A46" s="8"/>
    </row>
    <row r="47" spans="1:26" ht="15.75" customHeight="1">
      <c r="A47" s="8"/>
    </row>
    <row r="48" spans="1:26" ht="15.75" customHeight="1">
      <c r="A48" s="5"/>
    </row>
    <row r="49" spans="1:1" ht="15.75" customHeight="1">
      <c r="A49" s="5"/>
    </row>
    <row r="50" spans="1:1" ht="15.75" customHeight="1">
      <c r="A50" s="7"/>
    </row>
    <row r="51" spans="1:1" ht="15.75" customHeight="1">
      <c r="A51" s="5"/>
    </row>
    <row r="52" spans="1:1" ht="15.75" customHeight="1">
      <c r="A52" s="5"/>
    </row>
    <row r="53" spans="1:1" ht="15.75" customHeight="1">
      <c r="A53" s="5"/>
    </row>
    <row r="54" spans="1:1" ht="15.75" customHeight="1">
      <c r="A54" s="4"/>
    </row>
    <row r="55" spans="1:1" ht="15.75" customHeight="1">
      <c r="A55" s="5"/>
    </row>
    <row r="56" spans="1:1" ht="15.75" customHeight="1">
      <c r="A56" s="5"/>
    </row>
    <row r="57" spans="1:1" ht="15.75" customHeight="1">
      <c r="A57" s="4"/>
    </row>
    <row r="58" spans="1:1" ht="15.75" customHeight="1">
      <c r="A58" s="7"/>
    </row>
    <row r="59" spans="1:1" ht="15.75" customHeight="1">
      <c r="A59" s="7"/>
    </row>
    <row r="60" spans="1:1" ht="15.75" customHeight="1">
      <c r="A60" s="5"/>
    </row>
    <row r="61" spans="1:1" ht="15.75" customHeight="1">
      <c r="A61" s="4"/>
    </row>
    <row r="62" spans="1:1" ht="15.75" customHeight="1">
      <c r="A62" s="5"/>
    </row>
    <row r="63" spans="1:1" ht="15.75" customHeight="1">
      <c r="A63" s="9"/>
    </row>
    <row r="64" spans="1:1" ht="15.75" customHeight="1">
      <c r="A64" s="8"/>
    </row>
    <row r="65" spans="1:1" ht="15.75" customHeight="1">
      <c r="A65" s="5"/>
    </row>
    <row r="66" spans="1:1" ht="15.75" customHeight="1">
      <c r="A66" s="7"/>
    </row>
    <row r="67" spans="1:1" ht="15.75" customHeight="1">
      <c r="A67" s="6"/>
    </row>
    <row r="68" spans="1:1" ht="15.75" customHeight="1">
      <c r="A68" s="7"/>
    </row>
    <row r="69" spans="1:1" ht="15.75" customHeight="1">
      <c r="A69" s="9"/>
    </row>
    <row r="70" spans="1:1" ht="15.75" customHeight="1">
      <c r="A70" s="7"/>
    </row>
    <row r="71" spans="1:1" ht="15.75" customHeight="1">
      <c r="A71" s="5"/>
    </row>
    <row r="72" spans="1:1" ht="15.75" customHeight="1">
      <c r="A72" s="6"/>
    </row>
    <row r="73" spans="1:1" ht="15.75" customHeight="1">
      <c r="A73" s="5"/>
    </row>
    <row r="74" spans="1:1" ht="15.75" customHeight="1">
      <c r="A74" s="5"/>
    </row>
    <row r="75" spans="1:1" ht="15.75" customHeight="1">
      <c r="A75" s="8"/>
    </row>
    <row r="76" spans="1:1" ht="15.75" customHeight="1">
      <c r="A76" s="6"/>
    </row>
    <row r="77" spans="1:1" ht="15.75" customHeight="1">
      <c r="A77" s="9"/>
    </row>
    <row r="78" spans="1:1" ht="15.75" customHeight="1">
      <c r="A78" s="7"/>
    </row>
    <row r="79" spans="1:1" ht="15.75" customHeight="1">
      <c r="A79" s="4"/>
    </row>
    <row r="80" spans="1:1" ht="15.75" customHeight="1">
      <c r="A80" s="4"/>
    </row>
    <row r="81" spans="1:1" ht="15.75" customHeight="1">
      <c r="A81" s="5"/>
    </row>
    <row r="82" spans="1:1" ht="15.75" customHeight="1">
      <c r="A82" s="7"/>
    </row>
    <row r="83" spans="1:1" ht="15.75" customHeight="1">
      <c r="A83" s="7"/>
    </row>
    <row r="84" spans="1:1" ht="15.75" customHeight="1">
      <c r="A84" s="8"/>
    </row>
    <row r="85" spans="1:1" ht="15.75" customHeight="1">
      <c r="A85" s="8"/>
    </row>
    <row r="86" spans="1:1" ht="15.75" customHeight="1">
      <c r="A86" s="8"/>
    </row>
    <row r="87" spans="1:1" ht="15.75" customHeight="1">
      <c r="A87" s="8"/>
    </row>
    <row r="88" spans="1:1" ht="15.75" customHeight="1">
      <c r="A88" s="8"/>
    </row>
    <row r="89" spans="1:1" ht="15.75" customHeight="1">
      <c r="A89" s="8"/>
    </row>
    <row r="90" spans="1:1" ht="15.75" customHeight="1">
      <c r="A90" s="8"/>
    </row>
    <row r="91" spans="1:1" ht="15.75" customHeight="1">
      <c r="A91" s="8"/>
    </row>
    <row r="92" spans="1:1" ht="15.75" customHeight="1">
      <c r="A92" s="8"/>
    </row>
    <row r="93" spans="1:1" ht="15.75" customHeight="1">
      <c r="A93" s="8"/>
    </row>
    <row r="94" spans="1:1" ht="15.75" customHeight="1">
      <c r="A94" s="8"/>
    </row>
    <row r="95" spans="1:1" ht="15.75" customHeight="1">
      <c r="A95" s="8"/>
    </row>
    <row r="96" spans="1:1" ht="15.75" customHeight="1">
      <c r="A96" s="8"/>
    </row>
    <row r="97" spans="1:1" ht="15.75" customHeight="1">
      <c r="A97" s="8"/>
    </row>
    <row r="98" spans="1:1" ht="15.75" customHeight="1">
      <c r="A98" s="8"/>
    </row>
    <row r="99" spans="1:1" ht="15.75" customHeight="1">
      <c r="A99" s="8"/>
    </row>
    <row r="100" spans="1:1" ht="15.75" customHeight="1">
      <c r="A100" s="8"/>
    </row>
    <row r="101" spans="1:1" ht="15.75" customHeight="1">
      <c r="A101" s="8"/>
    </row>
    <row r="102" spans="1:1" ht="15.75" customHeight="1">
      <c r="A102" s="8"/>
    </row>
    <row r="103" spans="1:1" ht="15.75" customHeight="1">
      <c r="A103" s="8"/>
    </row>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sortState xmlns:xlrd2="http://schemas.microsoft.com/office/spreadsheetml/2017/richdata2" ref="A48:A83">
    <sortCondition ref="A48:A83"/>
  </sortState>
  <mergeCells count="3">
    <mergeCell ref="N1:R1"/>
    <mergeCell ref="S1:V1"/>
    <mergeCell ref="B1:M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E80C-E8BE-4E82-922C-EF3B7F52201B}">
  <dimension ref="B1:C13"/>
  <sheetViews>
    <sheetView workbookViewId="0">
      <selection activeCell="G9" sqref="G9"/>
    </sheetView>
  </sheetViews>
  <sheetFormatPr defaultRowHeight="15"/>
  <cols>
    <col min="2" max="2" width="20.140625" customWidth="1"/>
    <col min="3" max="3" width="46.7109375" customWidth="1"/>
  </cols>
  <sheetData>
    <row r="1" spans="2:3" ht="15.75" thickBot="1"/>
    <row r="2" spans="2:3" ht="30.75" thickBot="1">
      <c r="B2" s="59" t="s">
        <v>131</v>
      </c>
      <c r="C2" s="60" t="s">
        <v>132</v>
      </c>
    </row>
    <row r="3" spans="2:3" ht="47.45" customHeight="1" thickBot="1">
      <c r="B3" s="61" t="s">
        <v>133</v>
      </c>
      <c r="C3" s="62" t="s">
        <v>134</v>
      </c>
    </row>
    <row r="4" spans="2:3" ht="57.95" customHeight="1" thickBot="1">
      <c r="B4" s="61" t="s">
        <v>135</v>
      </c>
      <c r="C4" s="62" t="s">
        <v>136</v>
      </c>
    </row>
    <row r="5" spans="2:3" ht="29.45" customHeight="1">
      <c r="B5" s="97" t="s">
        <v>137</v>
      </c>
      <c r="C5" s="63" t="s">
        <v>138</v>
      </c>
    </row>
    <row r="6" spans="2:3" ht="48" customHeight="1">
      <c r="B6" s="98"/>
      <c r="C6" s="64" t="s">
        <v>139</v>
      </c>
    </row>
    <row r="7" spans="2:3" ht="23.1" customHeight="1">
      <c r="B7" s="98"/>
      <c r="C7" s="64" t="s">
        <v>140</v>
      </c>
    </row>
    <row r="8" spans="2:3" ht="57.95" customHeight="1">
      <c r="B8" s="98"/>
      <c r="C8" s="64" t="s">
        <v>141</v>
      </c>
    </row>
    <row r="9" spans="2:3" ht="50.1" customHeight="1" thickBot="1">
      <c r="B9" s="99"/>
      <c r="C9" s="64" t="s">
        <v>142</v>
      </c>
    </row>
    <row r="10" spans="2:3" ht="40.5" customHeight="1" thickBot="1">
      <c r="B10" s="65" t="s">
        <v>143</v>
      </c>
      <c r="C10" s="66" t="s">
        <v>144</v>
      </c>
    </row>
    <row r="11" spans="2:3" ht="68.45" customHeight="1" thickBot="1">
      <c r="B11" s="61" t="s">
        <v>145</v>
      </c>
      <c r="C11" s="62" t="s">
        <v>146</v>
      </c>
    </row>
    <row r="12" spans="2:3" ht="27" customHeight="1" thickBot="1">
      <c r="B12" s="61" t="s">
        <v>147</v>
      </c>
      <c r="C12" s="62" t="s">
        <v>148</v>
      </c>
    </row>
    <row r="13" spans="2:3" ht="54.95" customHeight="1" thickBot="1">
      <c r="B13" s="61" t="s">
        <v>149</v>
      </c>
      <c r="C13" s="62" t="s">
        <v>150</v>
      </c>
    </row>
  </sheetData>
  <mergeCells count="1">
    <mergeCell ref="B5: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77C9-66CE-4022-8001-921C30286573}">
  <dimension ref="B1:C23"/>
  <sheetViews>
    <sheetView workbookViewId="0">
      <selection activeCell="F22" sqref="F22"/>
    </sheetView>
  </sheetViews>
  <sheetFormatPr defaultRowHeight="15"/>
  <cols>
    <col min="2" max="2" width="12.140625" customWidth="1"/>
    <col min="3" max="3" width="28.140625" customWidth="1"/>
  </cols>
  <sheetData>
    <row r="1" spans="2:3" ht="15.75" thickBot="1"/>
    <row r="2" spans="2:3" ht="30.75" thickBot="1">
      <c r="B2" s="49" t="s">
        <v>130</v>
      </c>
      <c r="C2" s="50" t="s">
        <v>50</v>
      </c>
    </row>
    <row r="3" spans="2:3" ht="30" customHeight="1">
      <c r="B3" s="94" t="s">
        <v>51</v>
      </c>
      <c r="C3" s="51" t="s">
        <v>101</v>
      </c>
    </row>
    <row r="4" spans="2:3" ht="30" customHeight="1">
      <c r="B4" s="95"/>
      <c r="C4" s="52" t="s">
        <v>102</v>
      </c>
    </row>
    <row r="5" spans="2:3" ht="33.75" customHeight="1">
      <c r="B5" s="95"/>
      <c r="C5" s="52" t="s">
        <v>103</v>
      </c>
    </row>
    <row r="6" spans="2:3" ht="18" customHeight="1">
      <c r="B6" s="95"/>
      <c r="C6" s="52" t="s">
        <v>104</v>
      </c>
    </row>
    <row r="7" spans="2:3">
      <c r="B7" s="95"/>
      <c r="C7" s="52" t="s">
        <v>105</v>
      </c>
    </row>
    <row r="8" spans="2:3">
      <c r="B8" s="95"/>
      <c r="C8" s="52" t="s">
        <v>106</v>
      </c>
    </row>
    <row r="9" spans="2:3" ht="22.5" customHeight="1">
      <c r="B9" s="95"/>
      <c r="C9" s="52" t="s">
        <v>107</v>
      </c>
    </row>
    <row r="10" spans="2:3">
      <c r="B10" s="95"/>
      <c r="C10" s="52" t="s">
        <v>108</v>
      </c>
    </row>
    <row r="11" spans="2:3" ht="21.75" customHeight="1">
      <c r="B11" s="95"/>
      <c r="C11" s="52" t="s">
        <v>109</v>
      </c>
    </row>
    <row r="12" spans="2:3" ht="20.25" customHeight="1">
      <c r="B12" s="95"/>
      <c r="C12" s="52" t="s">
        <v>110</v>
      </c>
    </row>
    <row r="13" spans="2:3" ht="26.25" customHeight="1">
      <c r="B13" s="95"/>
      <c r="C13" s="52" t="s">
        <v>111</v>
      </c>
    </row>
    <row r="14" spans="2:3" ht="31.5" customHeight="1" thickBot="1">
      <c r="B14" s="96"/>
      <c r="C14" s="53" t="s">
        <v>112</v>
      </c>
    </row>
    <row r="15" spans="2:3" ht="15" customHeight="1">
      <c r="B15" s="94" t="s">
        <v>52</v>
      </c>
      <c r="C15" s="51" t="s">
        <v>113</v>
      </c>
    </row>
    <row r="16" spans="2:3" ht="20.25" customHeight="1">
      <c r="B16" s="95"/>
      <c r="C16" s="52" t="s">
        <v>114</v>
      </c>
    </row>
    <row r="17" spans="2:3" ht="18.75" customHeight="1">
      <c r="B17" s="95"/>
      <c r="C17" s="52" t="s">
        <v>115</v>
      </c>
    </row>
    <row r="18" spans="2:3" ht="21" customHeight="1">
      <c r="B18" s="95"/>
      <c r="C18" s="52" t="s">
        <v>116</v>
      </c>
    </row>
    <row r="19" spans="2:3" ht="34.5" customHeight="1" thickBot="1">
      <c r="B19" s="96"/>
      <c r="C19" s="53" t="s">
        <v>117</v>
      </c>
    </row>
    <row r="20" spans="2:3" ht="15" customHeight="1">
      <c r="B20" s="94" t="s">
        <v>53</v>
      </c>
      <c r="C20" s="51" t="s">
        <v>118</v>
      </c>
    </row>
    <row r="21" spans="2:3">
      <c r="B21" s="95"/>
      <c r="C21" s="52" t="s">
        <v>119</v>
      </c>
    </row>
    <row r="22" spans="2:3" ht="36.75" customHeight="1">
      <c r="B22" s="95"/>
      <c r="C22" s="52" t="s">
        <v>120</v>
      </c>
    </row>
    <row r="23" spans="2:3" ht="19.5" customHeight="1" thickBot="1">
      <c r="B23" s="96"/>
      <c r="C23" s="53" t="s">
        <v>121</v>
      </c>
    </row>
  </sheetData>
  <mergeCells count="3">
    <mergeCell ref="B15:B19"/>
    <mergeCell ref="B20:B23"/>
    <mergeCell ref="B3:B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MARS</vt:lpstr>
      <vt:lpstr>IMS</vt:lpstr>
      <vt:lpstr>Gamification</vt:lpstr>
      <vt:lpstr>IMS criteria</vt:lpstr>
      <vt:lpstr>Game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Choudhry, Abhinav</cp:lastModifiedBy>
  <dcterms:created xsi:type="dcterms:W3CDTF">2024-04-11T13:45:31Z</dcterms:created>
  <dcterms:modified xsi:type="dcterms:W3CDTF">2026-06-17T20:06:06Z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0x010100CED10AB484FE264085D57C5068763DB7</vt:lpwstr>
  </property>
</Properties>
</file>